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3ff0f1e074d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总览" sheetId="1" r:id="R562ae06c00204e9e"/>
    <x:sheet xmlns:r="http://schemas.openxmlformats.org/officeDocument/2006/relationships" name="全流程用途" sheetId="2" r:id="R4f6f1d7b08964475"/>
    <x:sheet xmlns:r="http://schemas.openxmlformats.org/officeDocument/2006/relationships" name="素材清单" sheetId="3" r:id="R50fd39d7eaa94f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42424"/>
      <x:name val="Arial"/>
    </x:font>
    <x:font>
      <x:b/>
      <x:sz val="11"/>
      <x:color rgb="FFFFFFFF"/>
      <x:name val="Arial"/>
    </x:font>
    <x:font>
      <x:b/>
      <x:sz val="16"/>
      <x:name val="Arial"/>
    </x:font>
    <x:font>
      <x:sz val="11"/>
      <x:color rgb="FF5C6570"/>
      <x:name val="Arial"/>
    </x:font>
    <x:font>
      <x:b/>
      <x:sz val="16"/>
      <x:color rgb="FF24242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14A59"/>
      </x:patternFill>
    </x:fill>
    <x:fill>
      <x:patternFill patternType="solid">
        <x:fgColor rgb="FFF5F6F8"/>
      </x:patternFill>
    </x:fill>
    <x:fill>
      <x:patternFill patternType="solid">
        <x:fgColor rgb="FFFFF3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4931d7de5463a" /><Relationship Type="http://schemas.openxmlformats.org/officeDocument/2006/relationships/theme" Target="/xl/theme/theme1.xml" Id="Re7959e8921b44540" /><Relationship Type="http://schemas.openxmlformats.org/officeDocument/2006/relationships/sharedStrings" Target="/xl/sharedStrings.xml" Id="Ree4ad13fe6584d89" /><Relationship Type="http://schemas.openxmlformats.org/officeDocument/2006/relationships/worksheet" Target="/xl/worksheets/sheet1.xml" Id="R562ae06c00204e9e" /><Relationship Type="http://schemas.openxmlformats.org/officeDocument/2006/relationships/worksheet" Target="/xl/worksheets/sheet2.xml" Id="R4f6f1d7b08964475" /><Relationship Type="http://schemas.openxmlformats.org/officeDocument/2006/relationships/worksheet" Target="/xl/worksheets/sheet3.xml" Id="R50fd39d7eaa94f83" /></Relationships>
</file>

<file path=xl/tables/table1.xml><?xml version="1.0" encoding="utf-8"?>
<x:table xmlns:x="http://schemas.openxmlformats.org/spreadsheetml/2006/main" id="4" name="GameFlowAudioUses" displayName="GameFlowAudioUses" ref="A4:G17" headerRowCount="1" totalsRowCount="0" totalsRowShown="0">
  <x:tableColumns count="7">
    <x:tableColumn id="1" name="流程"/>
    <x:tableColumn id="2" name="位置与活动"/>
    <x:tableColumn id="3" name="BGM用途"/>
    <x:tableColumn id="4" name="音效用途"/>
    <x:tableColumn id="5" name="切换与恢复"/>
    <x:tableColumn id="6" name="当前状态"/>
    <x:tableColumn id="7" name="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AudioAssetUses" displayName="AudioAssetUses" ref="A4:K58" headerRowCount="1" totalsRowCount="0" totalsRowShown="0">
  <x:tableColumns count="11">
    <x:tableColumn id="1" name="编号"/>
    <x:tableColumn id="2" name="类别"/>
    <x:tableColumn id="3" name="用途"/>
    <x:tableColumn id="4" name="关联流程"/>
    <x:tableColumn id="5" name="开始条件"/>
    <x:tableColumn id="6" name="结束与复用"/>
    <x:tableColumn id="7" name="制作范围"/>
    <x:tableColumn id="8" name="建议文件数"/>
    <x:tableColumn id="9" name="建议批次"/>
    <x:tableColumn id="10" name="制作确认"/>
    <x:tableColumn id="11" name="声音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a7588aa98a4a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5b6099596b4393" /></Relationships>
</file>

<file path=xl/worksheets/sheet1.xml><?xml version="1.0" encoding="utf-8"?>
<x:worksheet xmlns:x="http://schemas.openxmlformats.org/spreadsheetml/2006/main">
  <x:sheetPr>
    <x:tabColor rgb="FF414A59"/>
  </x:sheetPr>
  <x:sheetViews>
    <x:sheetView showGridLines="0" workbookViewId="0"/>
  </x:sheetViews>
  <x:sheetFormatPr defaultRowHeight="15"/>
  <x:cols>
    <x:col min="1" max="1" width="29" hidden="0" customWidth="1"/>
    <x:col min="2" max="2" width="13" hidden="0" customWidth="1"/>
    <x:col min="3" max="3" width="15" hidden="0" customWidth="1"/>
    <x:col min="4" max="4" width="14" hidden="0" customWidth="1"/>
    <x:col min="5" max="5" width="69" hidden="0" customWidth="1"/>
  </x:cols>
  <x:sheetData>
    <x:row r="2">
      <x:c r="A2" s="16" t="str">
        <x:v>聚光灯基础与阶段一音乐需求</x:v>
      </x:c>
    </x:row>
    <x:row r="3">
      <x:c r="A3" s="9" t="str">
        <x:v>2026-10-12 阶段一范围建议</x:v>
      </x:c>
      <x:c r="B3" s="9"/>
      <x:c r="C3" s="9"/>
      <x:c r="D3" s="9"/>
      <x:c r="E3" s="9"/>
    </x:row>
    <x:row r="5" ht="35" customHeight="1">
      <x:c r="A5" s="20" t="str">
        <x:v>类别</x:v>
      </x:c>
      <x:c r="B5" s="20" t="str">
        <x:v>用途组数</x:v>
      </x:c>
      <x:c r="C5" s="20" t="str">
        <x:v>建议文件数</x:v>
      </x:c>
      <x:c r="D5" s="20" t="str">
        <x:v>可延后用途</x:v>
      </x:c>
      <x:c r="E5" s="20" t="str">
        <x:v>范围说明</x:v>
      </x:c>
    </x:row>
    <x:row r="6" ht="40" customHeight="1">
      <x:c r="A6" s="3" t="str">
        <x:v>循环BGM 基础</x:v>
      </x:c>
      <x:c r="B6" s="13" t="n">
        <x:f>COUNTIFS('素材清单'!$B$5:$B$58,"BGM",'素材清单'!$G$5:$G$58,"基础")</x:f>
        <x:v>4</x:v>
      </x:c>
      <x:c r="C6" s="13" t="n">
        <x:f>SUMIFS('素材清单'!$H$5:$H$58,'素材清单'!$B$5:$B$58,"BGM",'素材清单'!$G$5:$G$58,"基础")</x:f>
        <x:v>4</x:v>
      </x:c>
      <x:c r="D6" s="13" t="n">
        <x:f>COUNTIFS('素材清单'!$B$5:$B$58,"BGM",'素材清单'!$G$5:$G$58,"基础",'素材清单'!$I$5:$I$58,"&lt;&gt;必含")</x:f>
        <x:v>0</x:v>
      </x:c>
      <x:c r="E6" s="3" t="str">
        <x:v>4组：标题、坊市探索、潜行警戒、阶段一BOSS。</x:v>
      </x:c>
    </x:row>
    <x:row r="7" ht="40" customHeight="1">
      <x:c r="A7" s="3" t="str">
        <x:v>循环BGM 追逐可选</x:v>
      </x:c>
      <x:c r="B7" s="13" t="n">
        <x:f>COUNTIFS('素材清单'!$B$5:$B$58,"BGM",'素材清单'!$G$5:$G$58,"可选")</x:f>
        <x:v>1</x:v>
      </x:c>
      <x:c r="C7" s="13" t="n">
        <x:f>SUMIFS('素材清单'!$H$5:$H$58,'素材清单'!$B$5:$B$58,"BGM",'素材清单'!$G$5:$G$58,"可选")</x:f>
        <x:v>1</x:v>
      </x:c>
      <x:c r="D7" s="13" t="n">
        <x:f>COUNTIFS('素材清单'!$B$5:$B$58,"BGM",'素材清单'!$G$5:$G$58,"可选",'素材清单'!$I$5:$I$58,"&lt;&gt;必含")</x:f>
        <x:v>1</x:v>
      </x:c>
      <x:c r="E7" s="3" t="str">
        <x:v>1组，仅独立追逐需要时制作，也可先共用警戒曲。</x:v>
      </x:c>
    </x:row>
    <x:row r="8" ht="40" customHeight="1">
      <x:c r="A8" s="3" t="str">
        <x:v>普通音效 通用</x:v>
      </x:c>
      <x:c r="B8" s="13" t="n">
        <x:f>COUNTIFS('素材清单'!$B$5:$B$58,"音效",'素材清单'!$G$5:$G$58,"通用")</x:f>
        <x:v>40</x:v>
      </x:c>
      <x:c r="C8" s="13" t="n">
        <x:f>SUMIFS('素材清单'!$H$5:$H$58,'素材清单'!$B$5:$B$58,"音效",'素材清单'!$G$5:$G$58,"通用")</x:f>
        <x:v>48</x:v>
      </x:c>
      <x:c r="D8" s="13" t="n">
        <x:f>COUNTIFS('素材清单'!$B$5:$B$58,"音效",'素材清单'!$G$5:$G$58,"通用",'素材清单'!$I$5:$I$58,"&lt;&gt;必含")</x:f>
        <x:v>0</x:v>
      </x:c>
      <x:c r="E8" s="3" t="str">
        <x:v>40类通用用途。脚步与受击变体后建议48个文件。</x:v>
      </x:c>
    </x:row>
    <x:row r="9" ht="40" customHeight="1">
      <x:c r="A9" s="3" t="str">
        <x:v>普通音效 阶段一条件</x:v>
      </x:c>
      <x:c r="B9" s="13" t="n">
        <x:f>COUNTIFS('素材清单'!$B$5:$B$58,"音效",'素材清单'!$G$5:$G$58,"关卡条件")</x:f>
        <x:v>3</x:v>
      </x:c>
      <x:c r="C9" s="13" t="n">
        <x:f>SUMIFS('素材清单'!$H$5:$H$58,'素材清单'!$B$5:$B$58,"音效",'素材清单'!$G$5:$G$58,"关卡条件")</x:f>
        <x:v>3</x:v>
      </x:c>
      <x:c r="D9" s="13" t="n">
        <x:f>COUNTIFS('素材清单'!$B$5:$B$58,"音效",'素材清单'!$G$5:$G$58,"关卡条件",'素材清单'!$I$5:$I$58,"&lt;&gt;必含")</x:f>
        <x:v>3</x:v>
      </x:c>
      <x:c r="E9" s="3" t="str">
        <x:v>3类：倒酒、锻打、打造完成，随玩法确认。</x:v>
      </x:c>
    </x:row>
    <x:row r="10" ht="40" customHeight="1">
      <x:c r="A10" s="3" t="str">
        <x:v>短乐句</x:v>
      </x:c>
      <x:c r="B10" s="13" t="n">
        <x:f>COUNTIFS('素材清单'!$B$5:$B$58,"短乐句",'素材清单'!$G$5:$G$58,"基础")</x:f>
        <x:v>4</x:v>
      </x:c>
      <x:c r="C10" s="13" t="n">
        <x:f>SUMIFS('素材清单'!$H$5:$H$58,'素材清单'!$B$5:$B$58,"短乐句",'素材清单'!$G$5:$G$58,"基础")</x:f>
        <x:v>4</x:v>
      </x:c>
      <x:c r="D10" s="13" t="n">
        <x:f>COUNTIFS('素材清单'!$B$5:$B$58,"短乐句",'素材清单'!$G$5:$G$58,"基础",'素材清单'!$I$5:$I$58,"&lt;&gt;必含")</x:f>
        <x:v>0</x:v>
      </x:c>
      <x:c r="E10" s="3" t="str">
        <x:v>胜利、失败、关键线索、阶段一收束，共4段。</x:v>
      </x:c>
    </x:row>
    <x:row r="11" ht="40" customHeight="1">
      <x:c r="A11" s="3" t="str">
        <x:v>环境循环</x:v>
      </x:c>
      <x:c r="B11" s="13" t="n">
        <x:f>COUNTIFS('素材清单'!$B$5:$B$58,"环境循环",'素材清单'!$G$5:$G$58,"基础")</x:f>
        <x:v>1</x:v>
      </x:c>
      <x:c r="C11" s="13" t="n">
        <x:f>SUMIFS('素材清单'!$H$5:$H$58,'素材清单'!$B$5:$B$58,"环境循环",'素材清单'!$G$5:$G$58,"基础")</x:f>
        <x:v>1</x:v>
      </x:c>
      <x:c r="D11" s="13" t="n">
        <x:f>COUNTIFS('素材清单'!$B$5:$B$58,"环境循环",'素材清单'!$G$5:$G$58,"基础",'素材清单'!$I$5:$I$58,"&lt;&gt;必含")</x:f>
        <x:v>0</x:v>
      </x:c>
      <x:c r="E11" s="3" t="str">
        <x:v>1组妖界集市远景，五地点门口共用。</x:v>
      </x:c>
    </x:row>
    <x:row r="12" ht="40" customHeight="1">
      <x:c r="A12" s="3" t="str">
        <x:v>玩法音乐 待定</x:v>
      </x:c>
      <x:c r="B12" s="13" t="n">
        <x:f>COUNTIFS('素材清单'!$B$5:$B$58,"玩法音乐",'素材清单'!$G$5:$G$58,"条件")</x:f>
        <x:v>1</x:v>
      </x:c>
      <x:c r="C12" s="13" t="n">
        <x:f>SUMIFS('素材清单'!$H$5:$H$58,'素材清单'!$B$5:$B$58,"玩法音乐",'素材清单'!$G$5:$G$58,"条件")</x:f>
        <x:v>1</x:v>
      </x:c>
      <x:c r="D12" s="13" t="n">
        <x:f>COUNTIFS('素材清单'!$B$5:$B$58,"玩法音乐",'素材清单'!$G$5:$G$58,"条件",'素材清单'!$I$5:$I$58,"&lt;&gt;必含")</x:f>
        <x:v>1</x:v>
      </x:c>
      <x:c r="E12" s="3" t="str">
        <x:v>戏班预留1段。须先确定光点／音游形式。</x:v>
      </x:c>
    </x:row>
    <x:row r="15" ht="48" customHeight="1">
      <x:c r="A15" s="2" t="str">
        <x:v>数量口径</x:v>
      </x:c>
      <x:c r="B15" s="2"/>
      <x:c r="C15" s="2"/>
      <x:c r="D15" s="2"/>
      <x:c r="E15" s="3" t="str">
        <x:v>普通音效40类通用加3类条件，共43类。按变体建议为51个文件；短乐句另计4段。</x:v>
      </x:c>
    </x:row>
    <x:row r="16" ht="48" customHeight="1">
      <x:c r="A16" s="2" t="str">
        <x:v>变体口径</x:v>
      </x:c>
      <x:c r="B16" s="2"/>
      <x:c r="C16" s="2"/>
      <x:c r="D16" s="2"/>
      <x:c r="E16" s="3" t="str">
        <x:v>石、木脚步各3个；玩家、BOSS受击各3个。与每组1个相比合计增加8个文件。</x:v>
      </x:c>
    </x:row>
    <x:row r="17" ht="48" customHeight="1">
      <x:c r="A17" s="2" t="str">
        <x:v>已有音频</x:v>
      </x:c>
      <x:c r="B17" s="2"/>
      <x:c r="C17" s="2"/>
      <x:c r="D17" s="2"/>
      <x:c r="E17" s="3" t="str">
        <x:v>标题有候选文件，确定沿用可减少1组新制。已有三首四轨测试歌曲不计本版报价。</x:v>
      </x:c>
    </x:row>
    <x:row r="18" ht="48" customHeight="1">
      <x:c r="A18" s="2" t="str">
        <x:v>优先制作</x:v>
      </x:c>
      <x:c r="B18" s="2"/>
      <x:c r="C18" s="2"/>
      <x:c r="D18" s="2"/>
      <x:c r="E18" s="3" t="str">
        <x:v>先做4组BGM、40类通用音效（48文件）、4短乐句、1环境循环。</x:v>
      </x:c>
    </x:row>
    <x:row r="19" ht="48" customHeight="1">
      <x:c r="A19" s="2" t="str">
        <x:v>范围排除</x:v>
      </x:c>
      <x:c r="B19" s="2"/>
      <x:c r="C19" s="2"/>
      <x:c r="D19" s="2"/>
      <x:c r="E19" s="3" t="str">
        <x:v>不含独立序章、阶段二以后人间、水灾、仪式、龙窟、龙形攻击及BOSS变形。</x:v>
      </x:c>
    </x:row>
    <x:row r="20" ht="48" customHeight="1">
      <x:c r="A20" s="2" t="str">
        <x:v>播放方案</x:v>
      </x:c>
      <x:c r="B20" s="2"/>
      <x:c r="C20" s="2"/>
      <x:c r="D20" s="2"/>
      <x:c r="E20" s="3" t="str">
        <x:v>完整混音切曲。普通对白与界面共用地区音乐，环境循环仍需独立控制。</x:v>
      </x:c>
    </x:row>
    <x:row r="21" ht="48" customHeight="1">
      <x:c r="A21" s="2" t="str">
        <x:v>条件与可选</x:v>
      </x:c>
      <x:c r="B21" s="2"/>
      <x:c r="C21" s="2"/>
      <x:c r="D21" s="2"/>
      <x:c r="E21" s="3" t="str">
        <x:v>另列追逐曲1组、倒酒与打造3类音效、戏班玩法音乐1段，避免与基础量混算。</x:v>
      </x:c>
    </x:row>
    <x:row r="22" ht="48" customHeight="1">
      <x:c r="A22" s="2" t="str">
        <x:v>制作确认</x:v>
      </x:c>
      <x:c r="B22" s="2"/>
      <x:c r="C22" s="2"/>
      <x:c r="D22" s="2"/>
      <x:c r="E22" s="3" t="str">
        <x:v>数量与制作状态均为建议。表格保留完整版素材编号，便于以后扩充与去重。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6" hidden="0" customWidth="1"/>
    <x:col min="4" max="4" width="40" hidden="0" customWidth="1"/>
    <x:col min="5" max="5" width="48" hidden="0" customWidth="1"/>
    <x:col min="6" max="6" width="37" hidden="0" customWidth="1"/>
    <x:col min="7" max="7" width="33" hidden="0" customWidth="1"/>
  </x:cols>
  <x:sheetData>
    <x:row r="2">
      <x:c r="A2" s="8" t="str">
        <x:v>基础与阶段一声音用途</x:v>
      </x:c>
      <x:c r="C2" t="str">
        <x:v>仅覆盖基础系统、阶段一五地点及通用状态，不含后续关卡。</x:v>
      </x:c>
    </x:row>
    <x:row r="4" ht="34" customHeight="1">
      <x:c r="A4" s="6" t="str">
        <x:v>流程</x:v>
      </x:c>
      <x:c r="B4" s="6" t="str">
        <x:v>位置与活动</x:v>
      </x:c>
      <x:c r="C4" s="6" t="str">
        <x:v>BGM用途</x:v>
      </x:c>
      <x:c r="D4" s="6" t="str">
        <x:v>音效用途</x:v>
      </x:c>
      <x:c r="E4" s="6" t="str">
        <x:v>切换与恢复</x:v>
      </x:c>
      <x:c r="F4" s="6" t="str">
        <x:v>当前状态</x:v>
      </x:c>
      <x:c r="G4" s="6" t="str">
        <x:v>依据</x:v>
      </x:c>
    </x:row>
    <x:row r="5" ht="65" customHeight="1">
      <x:c r="A5" s="7" t="str">
        <x:v>基础标题与教程</x:v>
      </x:c>
      <x:c r="B5" s="7" t="str">
        <x:v>标题、选槽、教程</x:v>
      </x:c>
      <x:c r="C5" s="7" t="str">
        <x:v>B01</x:v>
      </x:c>
      <x:c r="D5" s="7" t="str">
        <x:v>UI导航、确认、取消、面板开关</x:v>
      </x:c>
      <x:c r="E5" s="7" t="str">
        <x:v>开始坊市探索后切B03。</x:v>
      </x:c>
      <x:c r="F5" s="7" t="str">
        <x:v>系统功能已有，声音接线待完成。</x:v>
      </x:c>
      <x:c r="G5" s="7" t="str">
        <x:v>基础系统流程</x:v>
      </x:c>
    </x:row>
    <x:row r="6" ht="65" customHeight="1">
      <x:c r="A6" s="3" t="str">
        <x:v>基础对白与演出</x:v>
      </x:c>
      <x:c r="B6" s="3" t="str">
        <x:v>普通对白、历史、提示、短演出</x:v>
      </x:c>
      <x:c r="C6" s="3" t="str">
        <x:v>保持地区曲</x:v>
      </x:c>
      <x:c r="D6" s="3" t="str">
        <x:v>确认、取消、线索短乐句</x:v>
      </x:c>
      <x:c r="E6" s="3" t="str">
        <x:v>普通对白保留或降低地区曲，不新增独立曲。</x:v>
      </x:c>
      <x:c r="F6" s="3" t="str">
        <x:v>对白与演出管线已有。</x:v>
      </x:c>
      <x:c r="G6" s="3" t="str">
        <x:v>现有能力与制作建议</x:v>
      </x:c>
    </x:row>
    <x:row r="7" ht="65" customHeight="1">
      <x:c r="A7" s="7" t="str">
        <x:v>基础任务背包设置</x:v>
      </x:c>
      <x:c r="B7" s="7" t="str">
        <x:v>任务、库存、设置、暂停、保存</x:v>
      </x:c>
      <x:c r="C7" s="7" t="str">
        <x:v>保持当前BGM</x:v>
      </x:c>
      <x:c r="D7" s="7" t="str">
        <x:v>UI、任务接取和完成、物品拾取</x:v>
      </x:c>
      <x:c r="E7" s="7" t="str">
        <x:v>面板关闭不重启BGM。</x:v>
      </x:c>
      <x:c r="F7" s="7" t="str">
        <x:v>面板已有，声音触发待接。</x:v>
      </x:c>
      <x:c r="G7" s="7" t="str">
        <x:v>现有能力与制作建议</x:v>
      </x:c>
    </x:row>
    <x:row r="8" ht="65" customHeight="1">
      <x:c r="A8" s="3" t="str">
        <x:v>阶段一入镜</x:v>
      </x:c>
      <x:c r="B8" s="3" t="str">
        <x:v>入镜门槛与坊市出生点</x:v>
      </x:c>
      <x:c r="C8" s="3" t="str">
        <x:v>B01切B03</x:v>
      </x:c>
      <x:c r="D8" s="3" t="str">
        <x:v>镜面进入与到达</x:v>
      </x:c>
      <x:c r="E8" s="3" t="str">
        <x:v>仅计阶段一入口，不含独立序章或后续跨界。</x:v>
      </x:c>
      <x:c r="F8" s="3" t="str">
        <x:v>正式内容未按流程完整接入。</x:v>
      </x:c>
      <x:c r="G8" s="3" t="str">
        <x:v>剧情大纲阶段一</x:v>
      </x:c>
    </x:row>
    <x:row r="9" ht="65" customHeight="1">
      <x:c r="A9" s="7" t="str">
        <x:v>阶段一街面</x:v>
      </x:c>
      <x:c r="B9" s="7" t="str">
        <x:v>各商铺门口、遮挡与巡逻</x:v>
      </x:c>
      <x:c r="C9" s="7" t="str">
        <x:v>B03，风险时B04</x:v>
      </x:c>
      <x:c r="D9" s="7" t="str">
        <x:v>石木脚步、衣物、警戒、处决、拾取</x:v>
      </x:c>
      <x:c r="E9" s="7" t="str">
        <x:v>多个店铺共用B03，环境A02。</x:v>
      </x:c>
      <x:c r="F9" s="7" t="str">
        <x:v>综合试玩有相关能力。</x:v>
      </x:c>
      <x:c r="G9" s="7" t="str">
        <x:v>坊市原图、怪物状态设计</x:v>
      </x:c>
    </x:row>
    <x:row r="10" ht="65" customHeight="1">
      <x:c r="A10" s="3" t="str">
        <x:v>阶段一戏班</x:v>
      </x:c>
      <x:c r="B10" s="3" t="str">
        <x:v>都知调动巡逻，乐正解谜</x:v>
      </x:c>
      <x:c r="C10" s="3" t="str">
        <x:v>B03，玩法段P01待定</x:v>
      </x:c>
      <x:c r="D10" s="3" t="str">
        <x:v>装备、驯服、控制、核验、暴露</x:v>
      </x:c>
      <x:c r="E10" s="3" t="str">
        <x:v>玩法段临时替代背景，结束回B03。</x:v>
      </x:c>
      <x:c r="F10" s="3" t="str">
        <x:v>原五轨和光点方案尚未统一。</x:v>
      </x:c>
      <x:c r="G10" s="3" t="str">
        <x:v>阶段一设计、主页改动</x:v>
      </x:c>
    </x:row>
    <x:row r="11" ht="65" customHeight="1">
      <x:c r="A11" s="7" t="str">
        <x:v>阶段一衣肆</x:v>
      </x:c>
      <x:c r="B11" s="7" t="str">
        <x:v>附身顾客，判断取衣人，取得衣服</x:v>
      </x:c>
      <x:c r="C11" s="7" t="str">
        <x:v>B03</x:v>
      </x:c>
      <x:c r="D11" s="7" t="str">
        <x:v>控制、核验、暴露、拾取、线索短乐句</x:v>
      </x:c>
      <x:c r="E11" s="7" t="str">
        <x:v>条件对白使用地区曲，不单独写衣肆BGM。</x:v>
      </x:c>
      <x:c r="F11" s="7" t="str">
        <x:v>正式多顾客推理未落地。</x:v>
      </x:c>
      <x:c r="G11" s="7" t="str">
        <x:v>阶段一设计文档</x:v>
      </x:c>
    </x:row>
    <x:row r="12" ht="65" customHeight="1">
      <x:c r="A12" s="3" t="str">
        <x:v>阶段一金银行</x:v>
      </x:c>
      <x:c r="B12" s="3" t="str">
        <x:v>修改拨料文书，打造金钥匙</x:v>
      </x:c>
      <x:c r="C12" s="3" t="str">
        <x:v>B03</x:v>
      </x:c>
      <x:c r="D12" s="3" t="str">
        <x:v>文书、锻打、打造完成、拾取</x:v>
      </x:c>
      <x:c r="E12" s="3" t="str">
        <x:v>锻打与打造完成为条件项，不新增打造BGM。</x:v>
      </x:c>
      <x:c r="F12" s="3" t="str">
        <x:v>白盒可先用箱子，真实打造待接。</x:v>
      </x:c>
      <x:c r="G12" s="3" t="str">
        <x:v>阶段一设计文档</x:v>
      </x:c>
    </x:row>
    <x:row r="13" ht="65" customHeight="1">
      <x:c r="A13" s="7" t="str">
        <x:v>阶段一客栈</x:v>
      </x:c>
      <x:c r="B13" s="7" t="str">
        <x:v>获取其它地点线索，交付</x:v>
      </x:c>
      <x:c r="C13" s="7" t="str">
        <x:v>B03</x:v>
      </x:c>
      <x:c r="D13" s="7" t="str">
        <x:v>对白交互、关键发现、阶段收束</x:v>
      </x:c>
      <x:c r="E13" s="7" t="str">
        <x:v>普通对白不换曲，阶段完成用J04。</x:v>
      </x:c>
      <x:c r="F13" s="7" t="str">
        <x:v>对白可复用，交付内容待配置。</x:v>
      </x:c>
      <x:c r="G13" s="7" t="str">
        <x:v>阶段一设计文档、交付建议</x:v>
      </x:c>
    </x:row>
    <x:row r="14" ht="65" customHeight="1">
      <x:c r="A14" s="3" t="str">
        <x:v>阶段一酒肆</x:v>
      </x:c>
      <x:c r="B14" s="3" t="str">
        <x:v>顾客巡逻、灌酒与醉酒</x:v>
      </x:c>
      <x:c r="C14" s="3" t="str">
        <x:v>B03</x:v>
      </x:c>
      <x:c r="D14" s="3" t="str">
        <x:v>倒酒条件项、饮酒、脚步、暴露</x:v>
      </x:c>
      <x:c r="E14" s="3" t="str">
        <x:v>酒肆门前共用地区曲与集市音景。</x:v>
      </x:c>
      <x:c r="F14" s="3" t="str">
        <x:v>真实场外醉酒未完整接入。</x:v>
      </x:c>
      <x:c r="G14" s="3" t="str">
        <x:v>阶段一设计文档</x:v>
      </x:c>
    </x:row>
    <x:row r="15" ht="65" customHeight="1">
      <x:c r="A15" s="7" t="str">
        <x:v>阶段一BOSS</x:v>
      </x:c>
      <x:c r="B15" s="7" t="str">
        <x:v>回合制战斗、三招与饮酒</x:v>
      </x:c>
      <x:c r="C15" s="7" t="str">
        <x:v>B09</x:v>
      </x:c>
      <x:c r="D15" s="7" t="str">
        <x:v>三招式、双方受击、饮酒、强招、倒下</x:v>
      </x:c>
      <x:c r="E15" s="7" t="str">
        <x:v>胜利J01或失败J02后恢复地区曲。</x:v>
      </x:c>
      <x:c r="F15" s="7" t="str">
        <x:v>样例战斗闭环已接，正式内容待完成。</x:v>
      </x:c>
      <x:c r="G15" s="7" t="str">
        <x:v>回合制作战文档</x:v>
      </x:c>
    </x:row>
    <x:row r="16" ht="65" customHeight="1">
      <x:c r="A16" s="3" t="str">
        <x:v>基础潜行警戒</x:v>
      </x:c>
      <x:c r="B16" s="3" t="str">
        <x:v>被注意、敌对、倒地、摆脱</x:v>
      </x:c>
      <x:c r="C16" s="3" t="str">
        <x:v>B04，追逐B08可选</x:v>
      </x:c>
      <x:c r="D16" s="3" t="str">
        <x:v>警戒、敌对、倒地、摆脱、处决</x:v>
      </x:c>
      <x:c r="E16" s="3" t="str">
        <x:v>独立追逐曲不作为本版必需。</x:v>
      </x:c>
      <x:c r="F16" s="3" t="str">
        <x:v>通用追击已有，阶段一专项追逐未定。</x:v>
      </x:c>
      <x:c r="G16" s="3" t="str">
        <x:v>怪物状态与制作建议</x:v>
      </x:c>
    </x:row>
    <x:row r="17" ht="65" customHeight="1">
      <x:c r="A17" s="7" t="str">
        <x:v>完成与返回</x:v>
      </x:c>
      <x:c r="B17" s="7" t="str">
        <x:v>阶段一完成、失败重试、返回标题</x:v>
      </x:c>
      <x:c r="C17" s="7" t="str">
        <x:v>B03或B01</x:v>
      </x:c>
      <x:c r="D17" s="7" t="str">
        <x:v>胜负、线索、阶段收束短乐句</x:v>
      </x:c>
      <x:c r="E17" s="7" t="str">
        <x:v>恢复实际当前状态，停止旧声音。</x:v>
      </x:c>
      <x:c r="F17" s="7" t="str">
        <x:v>需要关卡与音频恢复接线。</x:v>
      </x:c>
      <x:c r="G17" s="7" t="str">
        <x:v>基础流程与制作建议</x:v>
      </x:c>
    </x:row>
    <x:row r="18" ht="65" customHeight="1">
      <x:c r="A18"/>
      <x:c r="B18"/>
      <x:c r="C18"/>
      <x:c r="D18"/>
      <x:c r="E18"/>
      <x:c r="F18"/>
      <x:c r="G18"/>
    </x:row>
    <x:row r="19" ht="65" customHeight="1">
      <x:c r="A19"/>
      <x:c r="B19"/>
      <x:c r="C19"/>
      <x:c r="D19"/>
      <x:c r="E19"/>
      <x:c r="F19"/>
      <x:c r="G19"/>
    </x:row>
    <x:row r="20" ht="65" customHeight="1">
      <x:c r="A20"/>
      <x:c r="B20"/>
      <x:c r="C20"/>
      <x:c r="D20"/>
      <x:c r="E20"/>
      <x:c r="F20"/>
      <x:c r="G20"/>
    </x:row>
    <x:row r="21" ht="65" customHeight="1">
      <x:c r="A21"/>
      <x:c r="B21"/>
      <x:c r="C21"/>
      <x:c r="D21"/>
      <x:c r="E21"/>
      <x:c r="F21"/>
      <x:c r="G21"/>
    </x:row>
    <x:row r="22" ht="65" customHeight="1">
      <x:c r="A22"/>
      <x:c r="B22"/>
      <x:c r="C22"/>
      <x:c r="D22"/>
      <x:c r="E22"/>
      <x:c r="F22"/>
      <x:c r="G22"/>
    </x:row>
    <x:row r="23" ht="65" customHeight="1">
      <x:c r="A23"/>
      <x:c r="B23"/>
      <x:c r="C23"/>
      <x:c r="D23"/>
      <x:c r="E23"/>
      <x:c r="F23"/>
      <x:c r="G23"/>
    </x:row>
    <x:row r="24" ht="65" customHeight="1">
      <x:c r="A24"/>
      <x:c r="B24"/>
      <x:c r="C24"/>
      <x:c r="D24"/>
      <x:c r="E24"/>
      <x:c r="F24"/>
      <x:c r="G24"/>
    </x:row>
    <x:row r="25" ht="65" customHeight="1">
      <x:c r="A25"/>
      <x:c r="B25"/>
      <x:c r="C25"/>
      <x:c r="D25"/>
      <x:c r="E25"/>
      <x:c r="F25"/>
      <x:c r="G25"/>
    </x:row>
    <x:row r="26" ht="65" customHeight="1">
      <x:c r="A26"/>
      <x:c r="B26"/>
      <x:c r="C26"/>
      <x:c r="D26"/>
      <x:c r="E26"/>
      <x:c r="F26"/>
      <x:c r="G26"/>
    </x:row>
    <x:row r="27" ht="65" customHeight="1">
      <x:c r="A27"/>
      <x:c r="B27"/>
      <x:c r="C27"/>
      <x:c r="D27"/>
      <x:c r="E27"/>
      <x:c r="F27"/>
      <x:c r="G27"/>
    </x:row>
    <x:row r="28" ht="65" customHeight="1">
      <x:c r="A28"/>
      <x:c r="B28"/>
      <x:c r="C28"/>
      <x:c r="D28"/>
      <x:c r="E28"/>
      <x:c r="F28"/>
      <x:c r="G28"/>
    </x:row>
    <x:row r="29" ht="65" customHeight="1">
      <x:c r="A29"/>
      <x:c r="B29"/>
      <x:c r="C29"/>
      <x:c r="D29"/>
      <x:c r="E29"/>
      <x:c r="F29"/>
      <x:c r="G29"/>
    </x:row>
    <x:row r="30" ht="65" customHeight="1">
      <x:c r="A30"/>
      <x:c r="B30"/>
      <x:c r="C30"/>
      <x:c r="D30"/>
      <x:c r="E30"/>
      <x:c r="F30"/>
      <x:c r="G30"/>
    </x:row>
  </x:sheetData>
  <x:pageMargins left="0.7" right="0.7" top="0.75" bottom="0.75" header="0.3" footer="0.3"/>
  <x:tableParts count="1">
    <x:tablePart xmlns:r="http://schemas.openxmlformats.org/officeDocument/2006/relationships" r:id="R0ea7588aa98a4ad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8" hidden="0" customWidth="1"/>
    <x:col min="2" max="2" width="12" hidden="0" customWidth="1"/>
    <x:col min="3" max="3" width="19" hidden="0" customWidth="1"/>
    <x:col min="4" max="4" width="27" hidden="0" customWidth="1"/>
    <x:col min="5" max="5" width="29" hidden="0" customWidth="1"/>
    <x:col min="6" max="6" width="31" hidden="0" customWidth="1"/>
    <x:col min="7" max="7" width="13" hidden="0" customWidth="1"/>
    <x:col min="8" max="8" width="13" hidden="0" customWidth="1"/>
    <x:col min="9" max="9" width="8" hidden="0" customWidth="1"/>
    <x:col min="10" max="10" width="12" hidden="0" customWidth="1"/>
    <x:col min="11" max="11" width="43" hidden="0" customWidth="1"/>
  </x:cols>
  <x:sheetData>
    <x:row r="2">
      <x:c r="A2" s="8" t="str">
        <x:v>素材用途清单</x:v>
      </x:c>
      <x:c r="C2" s="9" t="str">
        <x:v>仅含通用基础与阶段一。条件项待玩法确认，可选追逐曲单列。</x:v>
      </x:c>
      <x:c r="D2" s="9"/>
      <x:c r="E2" s="9"/>
      <x:c r="F2" s="9"/>
      <x:c r="G2" s="9"/>
      <x:c r="H2" s="9"/>
      <x:c r="I2" s="9"/>
      <x:c r="J2" s="9"/>
      <x:c r="K2" s="9"/>
    </x:row>
    <x:row r="4" ht="34" customHeight="1">
      <x:c r="A4" s="6" t="str">
        <x:v>编号</x:v>
      </x:c>
      <x:c r="B4" s="6" t="str">
        <x:v>类别</x:v>
      </x:c>
      <x:c r="C4" s="6" t="str">
        <x:v>用途</x:v>
      </x:c>
      <x:c r="D4" s="6" t="str">
        <x:v>关联流程</x:v>
      </x:c>
      <x:c r="E4" s="6" t="str">
        <x:v>开始条件</x:v>
      </x:c>
      <x:c r="F4" s="6" t="str">
        <x:v>结束与复用</x:v>
      </x:c>
      <x:c r="G4" s="6" t="str">
        <x:v>制作范围</x:v>
      </x:c>
      <x:c r="H4" s="6" t="str">
        <x:v>建议文件数</x:v>
      </x:c>
      <x:c r="I4" s="6" t="str">
        <x:v>建议批次</x:v>
      </x:c>
      <x:c r="J4" s="6" t="str">
        <x:v>制作确认</x:v>
      </x:c>
      <x:c r="K4" s="6" t="str">
        <x:v>声音说明</x:v>
      </x:c>
    </x:row>
    <x:row r="5" ht="65" customHeight="1">
      <x:c r="A5" s="7" t="str">
        <x:v>B01</x:v>
      </x:c>
      <x:c r="B5" s="7" t="str">
        <x:v>BGM</x:v>
      </x:c>
      <x:c r="C5" s="7" t="str">
        <x:v>标题主题</x:v>
      </x:c>
      <x:c r="D5" s="7" t="str">
        <x:v>标题、选槽、教程</x:v>
      </x:c>
      <x:c r="E5" s="7" t="str">
        <x:v>进入标题或开局准备</x:v>
      </x:c>
      <x:c r="F5" s="7" t="str">
        <x:v>开始坊市探索时切B03。</x:v>
      </x:c>
      <x:c r="G5" s="7" t="str">
        <x:v>基础</x:v>
      </x:c>
      <x:c r="H5" s="14" t="n">
        <x:v>1</x:v>
      </x:c>
      <x:c r="I5" s="15" t="str">
        <x:v>必含</x:v>
      </x:c>
      <x:c r="J5" s="15" t="str">
        <x:v>待确认</x:v>
      </x:c>
      <x:c r="K5" s="7" t="str">
        <x:v>已有标题候选文件，待试听后决定沿用或替换。 需要可无缝循环的完整混音。</x:v>
      </x:c>
    </x:row>
    <x:row r="6" ht="65" customHeight="1">
      <x:c r="A6" s="3" t="str">
        <x:v>B03</x:v>
      </x:c>
      <x:c r="B6" s="3" t="str">
        <x:v>BGM</x:v>
      </x:c>
      <x:c r="C6" s="3" t="str">
        <x:v>妖界坊市探索</x:v>
      </x:c>
      <x:c r="D6" s="3" t="str">
        <x:v>阶段一坊市街面</x:v>
      </x:c>
      <x:c r="E6" s="3" t="str">
        <x:v>街面和各店铺门口探索</x:v>
      </x:c>
      <x:c r="F6" s="3" t="str">
        <x:v>警戒、追逐、BOSS或特殊区域覆盖。</x:v>
      </x:c>
      <x:c r="G6" s="3" t="str">
        <x:v>基础</x:v>
      </x:c>
      <x:c r="H6" s="14" t="n">
        <x:v>1</x:v>
      </x:c>
      <x:c r="I6" s="15" t="str">
        <x:v>必含</x:v>
      </x:c>
      <x:c r="J6" s="15" t="str">
        <x:v>待确认</x:v>
      </x:c>
      <x:c r="K6" s="3" t="str">
        <x:v>戏班、衣肆、金银行、客栈、酒肆门前共用。 需要可无缝循环的完整混音。</x:v>
      </x:c>
    </x:row>
    <x:row r="7" ht="65" customHeight="1">
      <x:c r="A7" s="7" t="str">
        <x:v>B04</x:v>
      </x:c>
      <x:c r="B7" s="7" t="str">
        <x:v>BGM</x:v>
      </x:c>
      <x:c r="C7" s="7" t="str">
        <x:v>潜行与不安</x:v>
      </x:c>
      <x:c r="D7" s="7" t="str">
        <x:v>阶段一潜行与警戒</x:v>
      </x:c>
      <x:c r="E7" s="7" t="str">
        <x:v>潜行风险或警戒升级</x:v>
      </x:c>
      <x:c r="F7" s="7" t="str">
        <x:v>摆脱风险后恢复地区曲。</x:v>
      </x:c>
      <x:c r="G7" s="7" t="str">
        <x:v>基础</x:v>
      </x:c>
      <x:c r="H7" s="14" t="n">
        <x:v>1</x:v>
      </x:c>
      <x:c r="I7" s="15" t="str">
        <x:v>必含</x:v>
      </x:c>
      <x:c r="J7" s="15" t="str">
        <x:v>待确认</x:v>
      </x:c>
      <x:c r="K7" s="7" t="str">
        <x:v>先覆盖阶段一不安与警戒，恢复后回B03。提供完整循环混音。</x:v>
      </x:c>
    </x:row>
    <x:row r="8" ht="65" customHeight="1">
      <x:c r="A8" s="3" t="str">
        <x:v>B08</x:v>
      </x:c>
      <x:c r="B8" s="3" t="str">
        <x:v>BGM</x:v>
      </x:c>
      <x:c r="C8" s="3" t="str">
        <x:v>追逐</x:v>
      </x:c>
      <x:c r="D8" s="3" t="str">
        <x:v>基础敌对追击，阶段一专项追逐未定</x:v>
      </x:c>
      <x:c r="E8" s="3" t="str">
        <x:v>真正开始追逐</x:v>
      </x:c>
      <x:c r="F8" s="3" t="str">
        <x:v>明确逃脱、被抓或开战后停止。</x:v>
      </x:c>
      <x:c r="G8" s="3" t="str">
        <x:v>可选</x:v>
      </x:c>
      <x:c r="H8" s="14" t="n">
        <x:v>1</x:v>
      </x:c>
      <x:c r="I8" s="15" t="str">
        <x:v>可选</x:v>
      </x:c>
      <x:c r="J8" s="15" t="str">
        <x:v>待确认</x:v>
      </x:c>
      <x:c r="K8" s="3" t="str">
        <x:v>阶段一无明确专项追逐关，可先共用B04，仅在需要独立追逐音乐时制作。</x:v>
      </x:c>
    </x:row>
    <x:row r="9" ht="65" customHeight="1">
      <x:c r="A9" s="7" t="str">
        <x:v>B09</x:v>
      </x:c>
      <x:c r="B9" s="7" t="str">
        <x:v>BGM</x:v>
      </x:c>
      <x:c r="C9" s="7" t="str">
        <x:v>通用BOSS战</x:v>
      </x:c>
      <x:c r="D9" s="7" t="str">
        <x:v>阶段一BOSS战</x:v>
      </x:c>
      <x:c r="E9" s="7" t="str">
        <x:v>BOSS战舞台开始</x:v>
      </x:c>
      <x:c r="F9" s="7" t="str">
        <x:v>胜利或失败后停止，播放短乐句并回地区曲。</x:v>
      </x:c>
      <x:c r="G9" s="7" t="str">
        <x:v>基础</x:v>
      </x:c>
      <x:c r="H9" s="14" t="n">
        <x:v>1</x:v>
      </x:c>
      <x:c r="I9" s="15" t="str">
        <x:v>必含</x:v>
      </x:c>
      <x:c r="J9" s="15" t="str">
        <x:v>待确认</x:v>
      </x:c>
      <x:c r="K9" s="7" t="str">
        <x:v>阶段一各BOSS先共用。提供完整循环混音。</x:v>
      </x:c>
    </x:row>
    <x:row r="10" ht="65" customHeight="1">
      <x:c r="A10" s="3" t="str">
        <x:v>A02</x:v>
      </x:c>
      <x:c r="B10" s="3" t="str">
        <x:v>环境循环</x:v>
      </x:c>
      <x:c r="C10" s="3" t="str">
        <x:v>妖界坊市环境</x:v>
      </x:c>
      <x:c r="D10" s="3" t="str">
        <x:v>阶段一妖界坊市</x:v>
      </x:c>
      <x:c r="E10" s="3" t="str">
        <x:v>进入妖界坊市街面</x:v>
      </x:c>
      <x:c r="F10" s="3" t="str">
        <x:v>换场景停止。</x:v>
      </x:c>
      <x:c r="G10" s="3" t="str">
        <x:v>基础</x:v>
      </x:c>
      <x:c r="H10" s="14" t="n">
        <x:v>1</x:v>
      </x:c>
      <x:c r="I10" s="15" t="str">
        <x:v>必含</x:v>
      </x:c>
      <x:c r="J10" s="15" t="str">
        <x:v>待确认</x:v>
      </x:c>
      <x:c r="K10" s="3" t="str">
        <x:v>各商铺门口先共用集市远景。持续循环需要独立控制。</x:v>
      </x:c>
    </x:row>
    <x:row r="11" ht="65" customHeight="1">
      <x:c r="A11" s="7" t="str">
        <x:v>S01</x:v>
      </x:c>
      <x:c r="B11" s="7" t="str">
        <x:v>音效</x:v>
      </x:c>
      <x:c r="C11" s="7" t="str">
        <x:v>UI导航</x:v>
      </x:c>
      <x:c r="D11" s="7" t="str">
        <x:v>标题、设置、任务、背包</x:v>
      </x:c>
      <x:c r="E11" s="7" t="str">
        <x:v>选中项真正变化</x:v>
      </x:c>
      <x:c r="F11" s="7" t="str">
        <x:v>事件结束即结束。重复动作需变体或限频。</x:v>
      </x:c>
      <x:c r="G11" s="7" t="str">
        <x:v>通用</x:v>
      </x:c>
      <x:c r="H11" s="14" t="n">
        <x:v>1</x:v>
      </x:c>
      <x:c r="I11" s="15" t="str">
        <x:v>必含</x:v>
      </x:c>
      <x:c r="J11" s="15" t="str">
        <x:v>待确认</x:v>
      </x:c>
      <x:c r="K11" s="7" t="str">
        <x:v>声音表现为本次建议，动作来自对应流程。</x:v>
      </x:c>
    </x:row>
    <x:row r="12" ht="65" customHeight="1">
      <x:c r="A12" s="3" t="str">
        <x:v>S02</x:v>
      </x:c>
      <x:c r="B12" s="3" t="str">
        <x:v>音效</x:v>
      </x:c>
      <x:c r="C12" s="3" t="str">
        <x:v>UI确认</x:v>
      </x:c>
      <x:c r="D12" s="3" t="str">
        <x:v>所有界面</x:v>
      </x:c>
      <x:c r="E12" s="3" t="str">
        <x:v>成功确认或提交</x:v>
      </x:c>
      <x:c r="F12" s="3" t="str">
        <x:v>事件结束即结束。重复动作需变体或限频。</x:v>
      </x:c>
      <x:c r="G12" s="3" t="str">
        <x:v>通用</x:v>
      </x:c>
      <x:c r="H12" s="14" t="n">
        <x:v>1</x:v>
      </x:c>
      <x:c r="I12" s="15" t="str">
        <x:v>必含</x:v>
      </x:c>
      <x:c r="J12" s="15" t="str">
        <x:v>待确认</x:v>
      </x:c>
      <x:c r="K12" s="3" t="str">
        <x:v>声音表现为本次建议，动作来自对应流程。</x:v>
      </x:c>
    </x:row>
    <x:row r="13" ht="65" customHeight="1">
      <x:c r="A13" s="7" t="str">
        <x:v>S03</x:v>
      </x:c>
      <x:c r="B13" s="7" t="str">
        <x:v>音效</x:v>
      </x:c>
      <x:c r="C13" s="7" t="str">
        <x:v>UI取消</x:v>
      </x:c>
      <x:c r="D13" s="7" t="str">
        <x:v>所有界面</x:v>
      </x:c>
      <x:c r="E13" s="7" t="str">
        <x:v>返回或取消</x:v>
      </x:c>
      <x:c r="F13" s="7" t="str">
        <x:v>事件结束即结束。重复动作需变体或限频。</x:v>
      </x:c>
      <x:c r="G13" s="7" t="str">
        <x:v>通用</x:v>
      </x:c>
      <x:c r="H13" s="14" t="n">
        <x:v>1</x:v>
      </x:c>
      <x:c r="I13" s="15" t="str">
        <x:v>必含</x:v>
      </x:c>
      <x:c r="J13" s="15" t="str">
        <x:v>待确认</x:v>
      </x:c>
      <x:c r="K13" s="7" t="str">
        <x:v>声音表现为本次建议，动作来自对应流程。</x:v>
      </x:c>
    </x:row>
    <x:row r="14" ht="65" customHeight="1">
      <x:c r="A14" s="3" t="str">
        <x:v>S04</x:v>
      </x:c>
      <x:c r="B14" s="3" t="str">
        <x:v>音效</x:v>
      </x:c>
      <x:c r="C14" s="3" t="str">
        <x:v>面板打开</x:v>
      </x:c>
      <x:c r="D14" s="3" t="str">
        <x:v>任务、背包、设置</x:v>
      </x:c>
      <x:c r="E14" s="3" t="str">
        <x:v>面板打开完成</x:v>
      </x:c>
      <x:c r="F14" s="3" t="str">
        <x:v>事件结束即结束。重复动作需变体或限频。</x:v>
      </x:c>
      <x:c r="G14" s="3" t="str">
        <x:v>通用</x:v>
      </x:c>
      <x:c r="H14" s="14" t="n">
        <x:v>1</x:v>
      </x:c>
      <x:c r="I14" s="15" t="str">
        <x:v>必含</x:v>
      </x:c>
      <x:c r="J14" s="15" t="str">
        <x:v>待确认</x:v>
      </x:c>
      <x:c r="K14" s="3" t="str">
        <x:v>声音表现为本次建议，动作来自对应流程。</x:v>
      </x:c>
    </x:row>
    <x:row r="15" ht="65" customHeight="1">
      <x:c r="A15" s="7" t="str">
        <x:v>S05</x:v>
      </x:c>
      <x:c r="B15" s="7" t="str">
        <x:v>音效</x:v>
      </x:c>
      <x:c r="C15" s="7" t="str">
        <x:v>面板关闭</x:v>
      </x:c>
      <x:c r="D15" s="7" t="str">
        <x:v>任务、背包、设置</x:v>
      </x:c>
      <x:c r="E15" s="7" t="str">
        <x:v>面板关闭完成</x:v>
      </x:c>
      <x:c r="F15" s="7" t="str">
        <x:v>事件结束即结束。重复动作需变体或限频。</x:v>
      </x:c>
      <x:c r="G15" s="7" t="str">
        <x:v>通用</x:v>
      </x:c>
      <x:c r="H15" s="14" t="n">
        <x:v>1</x:v>
      </x:c>
      <x:c r="I15" s="15" t="str">
        <x:v>必含</x:v>
      </x:c>
      <x:c r="J15" s="15" t="str">
        <x:v>待确认</x:v>
      </x:c>
      <x:c r="K15" s="7" t="str">
        <x:v>声音表现为本次建议，动作来自对应流程。</x:v>
      </x:c>
    </x:row>
    <x:row r="16" ht="65" customHeight="1">
      <x:c r="A16" s="3" t="str">
        <x:v>S06</x:v>
      </x:c>
      <x:c r="B16" s="3" t="str">
        <x:v>音效</x:v>
      </x:c>
      <x:c r="C16" s="3" t="str">
        <x:v>操作被拒</x:v>
      </x:c>
      <x:c r="D16" s="3" t="str">
        <x:v>身份核验、道具、界面</x:v>
      </x:c>
      <x:c r="E16" s="3" t="str">
        <x:v>操作不满足条件</x:v>
      </x:c>
      <x:c r="F16" s="3" t="str">
        <x:v>事件结束即结束。重复动作需变体或限频。</x:v>
      </x:c>
      <x:c r="G16" s="3" t="str">
        <x:v>通用</x:v>
      </x:c>
      <x:c r="H16" s="14" t="n">
        <x:v>1</x:v>
      </x:c>
      <x:c r="I16" s="15" t="str">
        <x:v>必含</x:v>
      </x:c>
      <x:c r="J16" s="15" t="str">
        <x:v>待确认</x:v>
      </x:c>
      <x:c r="K16" s="3" t="str">
        <x:v>声音表现为本次建议，动作来自对应流程。</x:v>
      </x:c>
    </x:row>
    <x:row r="17" ht="65" customHeight="1">
      <x:c r="A17" s="7" t="str">
        <x:v>S07</x:v>
      </x:c>
      <x:c r="B17" s="7" t="str">
        <x:v>音效</x:v>
      </x:c>
      <x:c r="C17" s="7" t="str">
        <x:v>任务接取</x:v>
      </x:c>
      <x:c r="D17" s="7" t="str">
        <x:v>全流程</x:v>
      </x:c>
      <x:c r="E17" s="7" t="str">
        <x:v>新任务正式接取</x:v>
      </x:c>
      <x:c r="F17" s="7" t="str">
        <x:v>事件结束即结束。重复动作需变体或限频。</x:v>
      </x:c>
      <x:c r="G17" s="7" t="str">
        <x:v>通用</x:v>
      </x:c>
      <x:c r="H17" s="14" t="n">
        <x:v>1</x:v>
      </x:c>
      <x:c r="I17" s="15" t="str">
        <x:v>必含</x:v>
      </x:c>
      <x:c r="J17" s="15" t="str">
        <x:v>待确认</x:v>
      </x:c>
      <x:c r="K17" s="7" t="str">
        <x:v>声音表现为本次建议，动作来自对应流程。</x:v>
      </x:c>
    </x:row>
    <x:row r="18" ht="65" customHeight="1">
      <x:c r="A18" s="3" t="str">
        <x:v>S08</x:v>
      </x:c>
      <x:c r="B18" s="3" t="str">
        <x:v>音效</x:v>
      </x:c>
      <x:c r="C18" s="3" t="str">
        <x:v>任务完成</x:v>
      </x:c>
      <x:c r="D18" s="3" t="str">
        <x:v>全流程</x:v>
      </x:c>
      <x:c r="E18" s="3" t="str">
        <x:v>任务完成</x:v>
      </x:c>
      <x:c r="F18" s="3" t="str">
        <x:v>事件结束即结束。重复动作需变体或限频。</x:v>
      </x:c>
      <x:c r="G18" s="3" t="str">
        <x:v>通用</x:v>
      </x:c>
      <x:c r="H18" s="14" t="n">
        <x:v>1</x:v>
      </x:c>
      <x:c r="I18" s="15" t="str">
        <x:v>必含</x:v>
      </x:c>
      <x:c r="J18" s="15" t="str">
        <x:v>待确认</x:v>
      </x:c>
      <x:c r="K18" s="3" t="str">
        <x:v>声音表现为本次建议，动作来自对应流程。</x:v>
      </x:c>
    </x:row>
    <x:row r="19" ht="65" customHeight="1">
      <x:c r="A19" s="7" t="str">
        <x:v>S09</x:v>
      </x:c>
      <x:c r="B19" s="7" t="str">
        <x:v>音效</x:v>
      </x:c>
      <x:c r="C19" s="7" t="str">
        <x:v>石地脚步</x:v>
      </x:c>
      <x:c r="D19" s="7" t="str">
        <x:v>街面、潜行、追逐</x:v>
      </x:c>
      <x:c r="E19" s="7" t="str">
        <x:v>脚落地</x:v>
      </x:c>
      <x:c r="F19" s="7" t="str">
        <x:v>事件结束即结束。重复动作需变体或限频。</x:v>
      </x:c>
      <x:c r="G19" s="7" t="str">
        <x:v>通用</x:v>
      </x:c>
      <x:c r="H19" s="14" t="n">
        <x:v>3</x:v>
      </x:c>
      <x:c r="I19" s="15" t="str">
        <x:v>必含</x:v>
      </x:c>
      <x:c r="J19" s="15" t="str">
        <x:v>待确认</x:v>
      </x:c>
      <x:c r="K19" s="7" t="str">
        <x:v>同地面走跑潜行共用素材组，靠节奏与音量区分。建议3个变体。</x:v>
      </x:c>
    </x:row>
    <x:row r="20" ht="65" customHeight="1">
      <x:c r="A20" s="3" t="str">
        <x:v>S10</x:v>
      </x:c>
      <x:c r="B20" s="3" t="str">
        <x:v>音效</x:v>
      </x:c>
      <x:c r="C20" s="3" t="str">
        <x:v>木地脚步</x:v>
      </x:c>
      <x:c r="D20" s="3" t="str">
        <x:v>露天戏台、楼梯、木结构区域</x:v>
      </x:c>
      <x:c r="E20" s="3" t="str">
        <x:v>脚落地</x:v>
      </x:c>
      <x:c r="F20" s="3" t="str">
        <x:v>事件结束即结束。重复动作需变体或限频。</x:v>
      </x:c>
      <x:c r="G20" s="3" t="str">
        <x:v>通用</x:v>
      </x:c>
      <x:c r="H20" s="14" t="n">
        <x:v>3</x:v>
      </x:c>
      <x:c r="I20" s="15" t="str">
        <x:v>必含</x:v>
      </x:c>
      <x:c r="J20" s="15" t="str">
        <x:v>待确认</x:v>
      </x:c>
      <x:c r="K20" s="3" t="str">
        <x:v>建议3个变体，楼梯复用。</x:v>
      </x:c>
    </x:row>
    <x:row r="21" ht="65" customHeight="1">
      <x:c r="A21" s="7" t="str">
        <x:v>S12</x:v>
      </x:c>
      <x:c r="B21" s="7" t="str">
        <x:v>音效</x:v>
      </x:c>
      <x:c r="C21" s="7" t="str">
        <x:v>衣物动作</x:v>
      </x:c>
      <x:c r="D21" s="7" t="str">
        <x:v>移动、潜行、转身</x:v>
      </x:c>
      <x:c r="E21" s="7" t="str">
        <x:v>显著衣物动作</x:v>
      </x:c>
      <x:c r="F21" s="7" t="str">
        <x:v>事件结束即结束。重复动作需变体或限频。</x:v>
      </x:c>
      <x:c r="G21" s="7" t="str">
        <x:v>通用</x:v>
      </x:c>
      <x:c r="H21" s="14" t="n">
        <x:v>1</x:v>
      </x:c>
      <x:c r="I21" s="15" t="str">
        <x:v>必含</x:v>
      </x:c>
      <x:c r="J21" s="15" t="str">
        <x:v>待确认</x:v>
      </x:c>
      <x:c r="K21" s="7" t="str">
        <x:v>声音表现为本次建议，动作来自对应流程。</x:v>
      </x:c>
    </x:row>
    <x:row r="22" ht="65" customHeight="1">
      <x:c r="A22" s="3" t="str">
        <x:v>S13</x:v>
      </x:c>
      <x:c r="B22" s="3" t="str">
        <x:v>音效</x:v>
      </x:c>
      <x:c r="C22" s="3" t="str">
        <x:v>镜面转场进入</x:v>
      </x:c>
      <x:c r="D22" s="3" t="str">
        <x:v>阶段一入镜门槛</x:v>
      </x:c>
      <x:c r="E22" s="3" t="str">
        <x:v>确认进入镜面</x:v>
      </x:c>
      <x:c r="F22" s="3" t="str">
        <x:v>事件结束即结束。重复动作需变体或限频。</x:v>
      </x:c>
      <x:c r="G22" s="3" t="str">
        <x:v>通用</x:v>
      </x:c>
      <x:c r="H22" s="14" t="n">
        <x:v>1</x:v>
      </x:c>
      <x:c r="I22" s="15" t="str">
        <x:v>必含</x:v>
      </x:c>
      <x:c r="J22" s="15" t="str">
        <x:v>待确认</x:v>
      </x:c>
      <x:c r="K22" s="3" t="str">
        <x:v>声音表现为本次建议，动作来自对应流程。</x:v>
      </x:c>
    </x:row>
    <x:row r="23" ht="65" customHeight="1">
      <x:c r="A23" s="7" t="str">
        <x:v>S14</x:v>
      </x:c>
      <x:c r="B23" s="7" t="str">
        <x:v>音效</x:v>
      </x:c>
      <x:c r="C23" s="7" t="str">
        <x:v>镜面转场到达</x:v>
      </x:c>
      <x:c r="D23" s="7" t="str">
        <x:v>阶段一入镜门槛</x:v>
      </x:c>
      <x:c r="E23" s="7" t="str">
        <x:v>到达并恢复操作</x:v>
      </x:c>
      <x:c r="F23" s="7" t="str">
        <x:v>事件结束即结束。重复动作需变体或限频。</x:v>
      </x:c>
      <x:c r="G23" s="7" t="str">
        <x:v>通用</x:v>
      </x:c>
      <x:c r="H23" s="14" t="n">
        <x:v>1</x:v>
      </x:c>
      <x:c r="I23" s="15" t="str">
        <x:v>必含</x:v>
      </x:c>
      <x:c r="J23" s="15" t="str">
        <x:v>待确认</x:v>
      </x:c>
      <x:c r="K23" s="7" t="str">
        <x:v>声音表现为本次建议，动作来自对应流程。</x:v>
      </x:c>
    </x:row>
    <x:row r="24" ht="65" customHeight="1">
      <x:c r="A24" s="3" t="str">
        <x:v>S15</x:v>
      </x:c>
      <x:c r="B24" s="3" t="str">
        <x:v>音效</x:v>
      </x:c>
      <x:c r="C24" s="3" t="str">
        <x:v>物资箱打开</x:v>
      </x:c>
      <x:c r="D24" s="3" t="str">
        <x:v>探索与白盒金银行</x:v>
      </x:c>
      <x:c r="E24" s="3" t="str">
        <x:v>箱子真正打开</x:v>
      </x:c>
      <x:c r="F24" s="3" t="str">
        <x:v>事件结束即结束。重复动作需变体或限频。</x:v>
      </x:c>
      <x:c r="G24" s="3" t="str">
        <x:v>通用</x:v>
      </x:c>
      <x:c r="H24" s="14" t="n">
        <x:v>1</x:v>
      </x:c>
      <x:c r="I24" s="15" t="str">
        <x:v>必含</x:v>
      </x:c>
      <x:c r="J24" s="15" t="str">
        <x:v>待确认</x:v>
      </x:c>
      <x:c r="K24" s="3" t="str">
        <x:v>声音表现为本次建议，动作来自对应流程。</x:v>
      </x:c>
    </x:row>
    <x:row r="25" ht="65" customHeight="1">
      <x:c r="A25" s="7" t="str">
        <x:v>S16</x:v>
      </x:c>
      <x:c r="B25" s="7" t="str">
        <x:v>音效</x:v>
      </x:c>
      <x:c r="C25" s="7" t="str">
        <x:v>普通物品拾取</x:v>
      </x:c>
      <x:c r="D25" s="7" t="str">
        <x:v>箱子、皮面具、钥匙、线索</x:v>
      </x:c>
      <x:c r="E25" s="7" t="str">
        <x:v>奖励入背包</x:v>
      </x:c>
      <x:c r="F25" s="7" t="str">
        <x:v>事件结束即结束。重复动作需变体或限频。</x:v>
      </x:c>
      <x:c r="G25" s="7" t="str">
        <x:v>通用</x:v>
      </x:c>
      <x:c r="H25" s="14" t="n">
        <x:v>1</x:v>
      </x:c>
      <x:c r="I25" s="15" t="str">
        <x:v>必含</x:v>
      </x:c>
      <x:c r="J25" s="15" t="str">
        <x:v>待确认</x:v>
      </x:c>
      <x:c r="K25" s="7" t="str">
        <x:v>声音表现为本次建议，动作来自对应流程。</x:v>
      </x:c>
    </x:row>
    <x:row r="26" ht="65" customHeight="1">
      <x:c r="A26" s="3" t="str">
        <x:v>S17</x:v>
      </x:c>
      <x:c r="B26" s="3" t="str">
        <x:v>音效</x:v>
      </x:c>
      <x:c r="C26" s="3" t="str">
        <x:v>钥匙解锁</x:v>
      </x:c>
      <x:c r="D26" s="3" t="str">
        <x:v>身份或钥匙关口</x:v>
      </x:c>
      <x:c r="E26" s="3" t="str">
        <x:v>解锁成功</x:v>
      </x:c>
      <x:c r="F26" s="3" t="str">
        <x:v>事件结束即结束。重复动作需变体或限频。</x:v>
      </x:c>
      <x:c r="G26" s="3" t="str">
        <x:v>通用</x:v>
      </x:c>
      <x:c r="H26" s="14" t="n">
        <x:v>1</x:v>
      </x:c>
      <x:c r="I26" s="15" t="str">
        <x:v>必含</x:v>
      </x:c>
      <x:c r="J26" s="15" t="str">
        <x:v>待确认</x:v>
      </x:c>
      <x:c r="K26" s="3" t="str">
        <x:v>声音表现为本次建议，动作来自对应流程。</x:v>
      </x:c>
    </x:row>
    <x:row r="27" ht="65" customHeight="1">
      <x:c r="A27" s="7" t="str">
        <x:v>S18</x:v>
      </x:c>
      <x:c r="B27" s="7" t="str">
        <x:v>音效</x:v>
      </x:c>
      <x:c r="C27" s="7" t="str">
        <x:v>门开启</x:v>
      </x:c>
      <x:c r="D27" s="7" t="str">
        <x:v>可通行关口</x:v>
      </x:c>
      <x:c r="E27" s="7" t="str">
        <x:v>门开启</x:v>
      </x:c>
      <x:c r="F27" s="7" t="str">
        <x:v>事件结束即结束。重复动作需变体或限频。</x:v>
      </x:c>
      <x:c r="G27" s="7" t="str">
        <x:v>通用</x:v>
      </x:c>
      <x:c r="H27" s="14" t="n">
        <x:v>1</x:v>
      </x:c>
      <x:c r="I27" s="15" t="str">
        <x:v>必含</x:v>
      </x:c>
      <x:c r="J27" s="15" t="str">
        <x:v>待确认</x:v>
      </x:c>
      <x:c r="K27" s="7" t="str">
        <x:v>声音表现为本次建议，动作来自对应流程。</x:v>
      </x:c>
    </x:row>
    <x:row r="28" ht="65" customHeight="1">
      <x:c r="A28" s="3" t="str">
        <x:v>S19</x:v>
      </x:c>
      <x:c r="B28" s="3" t="str">
        <x:v>音效</x:v>
      </x:c>
      <x:c r="C28" s="3" t="str">
        <x:v>门关闭</x:v>
      </x:c>
      <x:c r="D28" s="3" t="str">
        <x:v>可通行关口</x:v>
      </x:c>
      <x:c r="E28" s="3" t="str">
        <x:v>门关闭</x:v>
      </x:c>
      <x:c r="F28" s="3" t="str">
        <x:v>事件结束即结束。重复动作需变体或限频。</x:v>
      </x:c>
      <x:c r="G28" s="3" t="str">
        <x:v>通用</x:v>
      </x:c>
      <x:c r="H28" s="14" t="n">
        <x:v>1</x:v>
      </x:c>
      <x:c r="I28" s="15" t="str">
        <x:v>必含</x:v>
      </x:c>
      <x:c r="J28" s="15" t="str">
        <x:v>待确认</x:v>
      </x:c>
      <x:c r="K28" s="3" t="str">
        <x:v>声音表现为本次建议，动作来自对应流程。</x:v>
      </x:c>
    </x:row>
    <x:row r="29" ht="65" customHeight="1">
      <x:c r="A29" s="7" t="str">
        <x:v>S20</x:v>
      </x:c>
      <x:c r="B29" s="7" t="str">
        <x:v>音效</x:v>
      </x:c>
      <x:c r="C29" s="7" t="str">
        <x:v>文书展开</x:v>
      </x:c>
      <x:c r="D29" s="7" t="str">
        <x:v>金银行拨料文书、阶段一线索查看</x:v>
      </x:c>
      <x:c r="E29" s="7" t="str">
        <x:v>打开名簿、卷宗或卷轴</x:v>
      </x:c>
      <x:c r="F29" s="7" t="str">
        <x:v>事件结束即结束。重复动作需变体或限频。</x:v>
      </x:c>
      <x:c r="G29" s="7" t="str">
        <x:v>通用</x:v>
      </x:c>
      <x:c r="H29" s="14" t="n">
        <x:v>1</x:v>
      </x:c>
      <x:c r="I29" s="15" t="str">
        <x:v>必含</x:v>
      </x:c>
      <x:c r="J29" s="15" t="str">
        <x:v>待确认</x:v>
      </x:c>
      <x:c r="K29" s="7" t="str">
        <x:v>声音表现为本次建议，动作来自对应流程。</x:v>
      </x:c>
    </x:row>
    <x:row r="30" ht="65" customHeight="1">
      <x:c r="A30" s="3" t="str">
        <x:v>S21</x:v>
      </x:c>
      <x:c r="B30" s="3" t="str">
        <x:v>音效</x:v>
      </x:c>
      <x:c r="C30" s="3" t="str">
        <x:v>文书翻页</x:v>
      </x:c>
      <x:c r="D30" s="3" t="str">
        <x:v>金银行拨料文书、阶段一线索查看</x:v>
      </x:c>
      <x:c r="E30" s="3" t="str">
        <x:v>实际翻页</x:v>
      </x:c>
      <x:c r="F30" s="3" t="str">
        <x:v>事件结束即结束。重复动作需变体或限频。</x:v>
      </x:c>
      <x:c r="G30" s="3" t="str">
        <x:v>通用</x:v>
      </x:c>
      <x:c r="H30" s="14" t="n">
        <x:v>1</x:v>
      </x:c>
      <x:c r="I30" s="15" t="str">
        <x:v>必含</x:v>
      </x:c>
      <x:c r="J30" s="15" t="str">
        <x:v>待确认</x:v>
      </x:c>
      <x:c r="K30" s="3" t="str">
        <x:v>声音表现为本次建议，动作来自对应流程。</x:v>
      </x:c>
    </x:row>
    <x:row r="31" ht="65" customHeight="1">
      <x:c r="A31" s="7" t="str">
        <x:v>S23</x:v>
      </x:c>
      <x:c r="B31" s="7" t="str">
        <x:v>音效</x:v>
      </x:c>
      <x:c r="C31" s="7" t="str">
        <x:v>面具装备</x:v>
      </x:c>
      <x:c r="D31" s="7" t="str">
        <x:v>借身份</x:v>
      </x:c>
      <x:c r="E31" s="7" t="str">
        <x:v>装备成功、身份生效</x:v>
      </x:c>
      <x:c r="F31" s="7" t="str">
        <x:v>事件结束即结束。重复动作需变体或限频。</x:v>
      </x:c>
      <x:c r="G31" s="7" t="str">
        <x:v>通用</x:v>
      </x:c>
      <x:c r="H31" s="14" t="n">
        <x:v>1</x:v>
      </x:c>
      <x:c r="I31" s="15" t="str">
        <x:v>必含</x:v>
      </x:c>
      <x:c r="J31" s="15" t="str">
        <x:v>待确认</x:v>
      </x:c>
      <x:c r="K31" s="7" t="str">
        <x:v>声音表现为本次建议，动作来自对应流程。</x:v>
      </x:c>
    </x:row>
    <x:row r="32" ht="65" customHeight="1">
      <x:c r="A32" s="3" t="str">
        <x:v>S24</x:v>
      </x:c>
      <x:c r="B32" s="3" t="str">
        <x:v>音效</x:v>
      </x:c>
      <x:c r="C32" s="3" t="str">
        <x:v>身份退出</x:v>
      </x:c>
      <x:c r="D32" s="3" t="str">
        <x:v>借身份</x:v>
      </x:c>
      <x:c r="E32" s="3" t="str">
        <x:v>身份退出或装备解除</x:v>
      </x:c>
      <x:c r="F32" s="3" t="str">
        <x:v>事件结束即结束。重复动作需变体或限频。</x:v>
      </x:c>
      <x:c r="G32" s="3" t="str">
        <x:v>通用</x:v>
      </x:c>
      <x:c r="H32" s="14" t="n">
        <x:v>1</x:v>
      </x:c>
      <x:c r="I32" s="15" t="str">
        <x:v>必含</x:v>
      </x:c>
      <x:c r="J32" s="15" t="str">
        <x:v>待确认</x:v>
      </x:c>
      <x:c r="K32" s="3" t="str">
        <x:v>声音表现为本次建议，动作来自对应流程。</x:v>
      </x:c>
    </x:row>
    <x:row r="33" ht="65" customHeight="1">
      <x:c r="A33" s="7" t="str">
        <x:v>S25</x:v>
      </x:c>
      <x:c r="B33" s="7" t="str">
        <x:v>音效</x:v>
      </x:c>
      <x:c r="C33" s="7" t="str">
        <x:v>驯服成功</x:v>
      </x:c>
      <x:c r="D33" s="7" t="str">
        <x:v>控制角色</x:v>
      </x:c>
      <x:c r="E33" s="7" t="str">
        <x:v>目标首次驯服成功</x:v>
      </x:c>
      <x:c r="F33" s="7" t="str">
        <x:v>事件结束即结束。重复动作需变体或限频。</x:v>
      </x:c>
      <x:c r="G33" s="7" t="str">
        <x:v>通用</x:v>
      </x:c>
      <x:c r="H33" s="14" t="n">
        <x:v>1</x:v>
      </x:c>
      <x:c r="I33" s="15" t="str">
        <x:v>必含</x:v>
      </x:c>
      <x:c r="J33" s="15" t="str">
        <x:v>待确认</x:v>
      </x:c>
      <x:c r="K33" s="7" t="str">
        <x:v>声音表现为本次建议，动作来自对应流程。</x:v>
      </x:c>
    </x:row>
    <x:row r="34" ht="65" customHeight="1">
      <x:c r="A34" s="3" t="str">
        <x:v>S26</x:v>
      </x:c>
      <x:c r="B34" s="3" t="str">
        <x:v>音效</x:v>
      </x:c>
      <x:c r="C34" s="3" t="str">
        <x:v>控制切换</x:v>
      </x:c>
      <x:c r="D34" s="3" t="str">
        <x:v>控制角色</x:v>
      </x:c>
      <x:c r="E34" s="3" t="str">
        <x:v>实际切到目标或本体</x:v>
      </x:c>
      <x:c r="F34" s="3" t="str">
        <x:v>事件结束即结束。重复动作需变体或限频。</x:v>
      </x:c>
      <x:c r="G34" s="3" t="str">
        <x:v>通用</x:v>
      </x:c>
      <x:c r="H34" s="14" t="n">
        <x:v>1</x:v>
      </x:c>
      <x:c r="I34" s="15" t="str">
        <x:v>必含</x:v>
      </x:c>
      <x:c r="J34" s="15" t="str">
        <x:v>待确认</x:v>
      </x:c>
      <x:c r="K34" s="3" t="str">
        <x:v>声音表现为本次建议，动作来自对应流程。</x:v>
      </x:c>
    </x:row>
    <x:row r="35" ht="65" customHeight="1">
      <x:c r="A35" s="7" t="str">
        <x:v>S27</x:v>
      </x:c>
      <x:c r="B35" s="7" t="str">
        <x:v>音效</x:v>
      </x:c>
      <x:c r="C35" s="7" t="str">
        <x:v>身份暴露</x:v>
      </x:c>
      <x:c r="D35" s="7" t="str">
        <x:v>身份风险</x:v>
      </x:c>
      <x:c r="E35" s="7" t="str">
        <x:v>露馅确认</x:v>
      </x:c>
      <x:c r="F35" s="7" t="str">
        <x:v>事件结束即结束。重复动作需变体或限频。</x:v>
      </x:c>
      <x:c r="G35" s="7" t="str">
        <x:v>通用</x:v>
      </x:c>
      <x:c r="H35" s="14" t="n">
        <x:v>1</x:v>
      </x:c>
      <x:c r="I35" s="15" t="str">
        <x:v>必含</x:v>
      </x:c>
      <x:c r="J35" s="15" t="str">
        <x:v>待确认</x:v>
      </x:c>
      <x:c r="K35" s="7" t="str">
        <x:v>声音表现为本次建议，动作来自对应流程。</x:v>
      </x:c>
    </x:row>
    <x:row r="36" ht="65" customHeight="1">
      <x:c r="A36" s="3" t="str">
        <x:v>S28</x:v>
      </x:c>
      <x:c r="B36" s="3" t="str">
        <x:v>音效</x:v>
      </x:c>
      <x:c r="C36" s="3" t="str">
        <x:v>身份核验通过</x:v>
      </x:c>
      <x:c r="D36" s="3" t="str">
        <x:v>身份关口</x:v>
      </x:c>
      <x:c r="E36" s="3" t="str">
        <x:v>正确身份通过核验</x:v>
      </x:c>
      <x:c r="F36" s="3" t="str">
        <x:v>事件结束即结束。重复动作需变体或限频。</x:v>
      </x:c>
      <x:c r="G36" s="3" t="str">
        <x:v>通用</x:v>
      </x:c>
      <x:c r="H36" s="14" t="n">
        <x:v>1</x:v>
      </x:c>
      <x:c r="I36" s="15" t="str">
        <x:v>必含</x:v>
      </x:c>
      <x:c r="J36" s="15" t="str">
        <x:v>待确认</x:v>
      </x:c>
      <x:c r="K36" s="3" t="str">
        <x:v>声音表现为本次建议，动作来自对应流程。</x:v>
      </x:c>
    </x:row>
    <x:row r="37" ht="65" customHeight="1">
      <x:c r="A37" s="7" t="str">
        <x:v>S29</x:v>
      </x:c>
      <x:c r="B37" s="7" t="str">
        <x:v>音效</x:v>
      </x:c>
      <x:c r="C37" s="7" t="str">
        <x:v>开始被注意</x:v>
      </x:c>
      <x:c r="D37" s="7" t="str">
        <x:v>潜行</x:v>
      </x:c>
      <x:c r="E37" s="7" t="str">
        <x:v>首次进入警戒</x:v>
      </x:c>
      <x:c r="F37" s="7" t="str">
        <x:v>事件结束即结束。重复动作需变体或限频。</x:v>
      </x:c>
      <x:c r="G37" s="7" t="str">
        <x:v>通用</x:v>
      </x:c>
      <x:c r="H37" s="14" t="n">
        <x:v>1</x:v>
      </x:c>
      <x:c r="I37" s="15" t="str">
        <x:v>必含</x:v>
      </x:c>
      <x:c r="J37" s="15" t="str">
        <x:v>待确认</x:v>
      </x:c>
      <x:c r="K37" s="7" t="str">
        <x:v>短提示。不要警戒值每帧变化都播放。</x:v>
      </x:c>
    </x:row>
    <x:row r="38" ht="65" customHeight="1">
      <x:c r="A38" s="3" t="str">
        <x:v>S30</x:v>
      </x:c>
      <x:c r="B38" s="3" t="str">
        <x:v>音效</x:v>
      </x:c>
      <x:c r="C38" s="3" t="str">
        <x:v>进入敌对</x:v>
      </x:c>
      <x:c r="D38" s="3" t="str">
        <x:v>潜行与追逐</x:v>
      </x:c>
      <x:c r="E38" s="3" t="str">
        <x:v>警戒满或进入敌对</x:v>
      </x:c>
      <x:c r="F38" s="3" t="str">
        <x:v>事件结束即结束。重复动作需变体或限频。</x:v>
      </x:c>
      <x:c r="G38" s="3" t="str">
        <x:v>通用</x:v>
      </x:c>
      <x:c r="H38" s="14" t="n">
        <x:v>1</x:v>
      </x:c>
      <x:c r="I38" s="15" t="str">
        <x:v>必含</x:v>
      </x:c>
      <x:c r="J38" s="15" t="str">
        <x:v>待确认</x:v>
      </x:c>
      <x:c r="K38" s="3" t="str">
        <x:v>追逐开始可复用本项，不重复另加一条警报。</x:v>
      </x:c>
    </x:row>
    <x:row r="39" ht="65" customHeight="1">
      <x:c r="A39" s="7" t="str">
        <x:v>S31</x:v>
      </x:c>
      <x:c r="B39" s="7" t="str">
        <x:v>音效</x:v>
      </x:c>
      <x:c r="C39" s="7" t="str">
        <x:v>摆脱追逐</x:v>
      </x:c>
      <x:c r="D39" s="7" t="str">
        <x:v>追逐</x:v>
      </x:c>
      <x:c r="E39" s="7" t="str">
        <x:v>逃脱条件达成</x:v>
      </x:c>
      <x:c r="F39" s="7" t="str">
        <x:v>事件结束即结束。重复动作需变体或限频。</x:v>
      </x:c>
      <x:c r="G39" s="7" t="str">
        <x:v>通用</x:v>
      </x:c>
      <x:c r="H39" s="14" t="n">
        <x:v>1</x:v>
      </x:c>
      <x:c r="I39" s="15" t="str">
        <x:v>必含</x:v>
      </x:c>
      <x:c r="J39" s="15" t="str">
        <x:v>待确认</x:v>
      </x:c>
      <x:c r="K39" s="7" t="str">
        <x:v>声音表现为本次建议，动作来自对应流程。</x:v>
      </x:c>
    </x:row>
    <x:row r="40" ht="65" customHeight="1">
      <x:c r="A40" s="3" t="str">
        <x:v>S32</x:v>
      </x:c>
      <x:c r="B40" s="3" t="str">
        <x:v>音效</x:v>
      </x:c>
      <x:c r="C40" s="3" t="str">
        <x:v>玩家击倒</x:v>
      </x:c>
      <x:c r="D40" s="3" t="str">
        <x:v>实时受击、追逐被抓</x:v>
      </x:c>
      <x:c r="E40" s="3" t="str">
        <x:v>进入倒地</x:v>
      </x:c>
      <x:c r="F40" s="3" t="str">
        <x:v>事件结束即结束。重复动作需变体或限频。</x:v>
      </x:c>
      <x:c r="G40" s="3" t="str">
        <x:v>通用</x:v>
      </x:c>
      <x:c r="H40" s="14" t="n">
        <x:v>1</x:v>
      </x:c>
      <x:c r="I40" s="15" t="str">
        <x:v>必含</x:v>
      </x:c>
      <x:c r="J40" s="15" t="str">
        <x:v>待确认</x:v>
      </x:c>
      <x:c r="K40" s="3" t="str">
        <x:v>声音表现为本次建议，动作来自对应流程。</x:v>
      </x:c>
    </x:row>
    <x:row r="41" ht="65" customHeight="1">
      <x:c r="A41" s="7" t="str">
        <x:v>S33</x:v>
      </x:c>
      <x:c r="B41" s="7" t="str">
        <x:v>音效</x:v>
      </x:c>
      <x:c r="C41" s="7" t="str">
        <x:v>背后处决</x:v>
      </x:c>
      <x:c r="D41" s="7" t="str">
        <x:v>潜行</x:v>
      </x:c>
      <x:c r="E41" s="7" t="str">
        <x:v>处决命中</x:v>
      </x:c>
      <x:c r="F41" s="7" t="str">
        <x:v>事件结束即结束。重复动作需变体或限频。</x:v>
      </x:c>
      <x:c r="G41" s="7" t="str">
        <x:v>通用</x:v>
      </x:c>
      <x:c r="H41" s="14" t="n">
        <x:v>1</x:v>
      </x:c>
      <x:c r="I41" s="15" t="str">
        <x:v>必含</x:v>
      </x:c>
      <x:c r="J41" s="15" t="str">
        <x:v>待确认</x:v>
      </x:c>
      <x:c r="K41" s="7" t="str">
        <x:v>声音表现为本次建议，动作来自对应流程。</x:v>
      </x:c>
    </x:row>
    <x:row r="42" ht="65" customHeight="1">
      <x:c r="A42" s="3" t="str">
        <x:v>S34</x:v>
      </x:c>
      <x:c r="B42" s="3" t="str">
        <x:v>音效</x:v>
      </x:c>
      <x:c r="C42" s="3" t="str">
        <x:v>玩家招式一</x:v>
      </x:c>
      <x:c r="D42" s="3" t="str">
        <x:v>回合制战斗</x:v>
      </x:c>
      <x:c r="E42" s="3" t="str">
        <x:v>普攻击出</x:v>
      </x:c>
      <x:c r="F42" s="3" t="str">
        <x:v>事件结束即结束。重复动作需变体或限频。</x:v>
      </x:c>
      <x:c r="G42" s="3" t="str">
        <x:v>通用</x:v>
      </x:c>
      <x:c r="H42" s="14" t="n">
        <x:v>1</x:v>
      </x:c>
      <x:c r="I42" s="15" t="str">
        <x:v>必含</x:v>
      </x:c>
      <x:c r="J42" s="15" t="str">
        <x:v>待确认</x:v>
      </x:c>
      <x:c r="K42" s="3" t="str">
        <x:v>声音表现为本次建议，动作来自对应流程。</x:v>
      </x:c>
    </x:row>
    <x:row r="43" ht="65" customHeight="1">
      <x:c r="A43" s="7" t="str">
        <x:v>S35</x:v>
      </x:c>
      <x:c r="B43" s="7" t="str">
        <x:v>音效</x:v>
      </x:c>
      <x:c r="C43" s="7" t="str">
        <x:v>玩家招式二</x:v>
      </x:c>
      <x:c r="D43" s="7" t="str">
        <x:v>回合制战斗</x:v>
      </x:c>
      <x:c r="E43" s="7" t="str">
        <x:v>蓄力重击击出</x:v>
      </x:c>
      <x:c r="F43" s="7" t="str">
        <x:v>事件结束即结束。重复动作需变体或限频。</x:v>
      </x:c>
      <x:c r="G43" s="7" t="str">
        <x:v>通用</x:v>
      </x:c>
      <x:c r="H43" s="14" t="n">
        <x:v>1</x:v>
      </x:c>
      <x:c r="I43" s="15" t="str">
        <x:v>必含</x:v>
      </x:c>
      <x:c r="J43" s="15" t="str">
        <x:v>待确认</x:v>
      </x:c>
      <x:c r="K43" s="7" t="str">
        <x:v>声音表现为本次建议，动作来自对应流程。</x:v>
      </x:c>
    </x:row>
    <x:row r="44" ht="65" customHeight="1">
      <x:c r="A44" s="3" t="str">
        <x:v>S36</x:v>
      </x:c>
      <x:c r="B44" s="3" t="str">
        <x:v>音效</x:v>
      </x:c>
      <x:c r="C44" s="3" t="str">
        <x:v>玩家招式三</x:v>
      </x:c>
      <x:c r="D44" s="3" t="str">
        <x:v>回合制战斗</x:v>
      </x:c>
      <x:c r="E44" s="3" t="str">
        <x:v>高强度招式击出</x:v>
      </x:c>
      <x:c r="F44" s="3" t="str">
        <x:v>事件结束即结束。重复动作需变体或限频。</x:v>
      </x:c>
      <x:c r="G44" s="3" t="str">
        <x:v>通用</x:v>
      </x:c>
      <x:c r="H44" s="14" t="n">
        <x:v>1</x:v>
      </x:c>
      <x:c r="I44" s="15" t="str">
        <x:v>必含</x:v>
      </x:c>
      <x:c r="J44" s="15" t="str">
        <x:v>待确认</x:v>
      </x:c>
      <x:c r="K44" s="3" t="str">
        <x:v>声音表现为本次建议，动作来自对应流程。</x:v>
      </x:c>
    </x:row>
    <x:row r="45" ht="65" customHeight="1">
      <x:c r="A45" s="7" t="str">
        <x:v>S37</x:v>
      </x:c>
      <x:c r="B45" s="7" t="str">
        <x:v>音效</x:v>
      </x:c>
      <x:c r="C45" s="7" t="str">
        <x:v>BOSS普通攻击</x:v>
      </x:c>
      <x:c r="D45" s="7" t="str">
        <x:v>回合制战斗</x:v>
      </x:c>
      <x:c r="E45" s="7" t="str">
        <x:v>BOSS普通攻击击出</x:v>
      </x:c>
      <x:c r="F45" s="7" t="str">
        <x:v>事件结束即结束。重复动作需变体或限频。</x:v>
      </x:c>
      <x:c r="G45" s="7" t="str">
        <x:v>通用</x:v>
      </x:c>
      <x:c r="H45" s="14" t="n">
        <x:v>1</x:v>
      </x:c>
      <x:c r="I45" s="15" t="str">
        <x:v>必含</x:v>
      </x:c>
      <x:c r="J45" s="15" t="str">
        <x:v>待确认</x:v>
      </x:c>
      <x:c r="K45" s="7" t="str">
        <x:v>声音表现为本次建议，动作来自对应流程。</x:v>
      </x:c>
    </x:row>
    <x:row r="46" ht="65" customHeight="1">
      <x:c r="A46" s="3" t="str">
        <x:v>S38</x:v>
      </x:c>
      <x:c r="B46" s="3" t="str">
        <x:v>音效</x:v>
      </x:c>
      <x:c r="C46" s="3" t="str">
        <x:v>饮酒</x:v>
      </x:c>
      <x:c r="D46" s="3" t="str">
        <x:v>阶段一酒肆与BOSS战</x:v>
      </x:c>
      <x:c r="E46" s="3" t="str">
        <x:v>实际饮酒</x:v>
      </x:c>
      <x:c r="F46" s="3" t="str">
        <x:v>事件结束即结束。重复动作需变体或限频。</x:v>
      </x:c>
      <x:c r="G46" s="3" t="str">
        <x:v>通用</x:v>
      </x:c>
      <x:c r="H46" s="14" t="n">
        <x:v>1</x:v>
      </x:c>
      <x:c r="I46" s="15" t="str">
        <x:v>必含</x:v>
      </x:c>
      <x:c r="J46" s="15" t="str">
        <x:v>待确认</x:v>
      </x:c>
      <x:c r="K46" s="3" t="str">
        <x:v>场外饮酒与BOSS饮酒共享一组。</x:v>
      </x:c>
    </x:row>
    <x:row r="47" ht="65" customHeight="1">
      <x:c r="A47" s="7" t="str">
        <x:v>S39</x:v>
      </x:c>
      <x:c r="B47" s="7" t="str">
        <x:v>音效</x:v>
      </x:c>
      <x:c r="C47" s="7" t="str">
        <x:v>BOSS高强度招式</x:v>
      </x:c>
      <x:c r="D47" s="7" t="str">
        <x:v>阶段一酒肆与BOSS战</x:v>
      </x:c>
      <x:c r="E47" s="7" t="str">
        <x:v>强招命中或释放</x:v>
      </x:c>
      <x:c r="F47" s="7" t="str">
        <x:v>事件结束即结束。重复动作需变体或限频。</x:v>
      </x:c>
      <x:c r="G47" s="7" t="str">
        <x:v>通用</x:v>
      </x:c>
      <x:c r="H47" s="14" t="n">
        <x:v>1</x:v>
      </x:c>
      <x:c r="I47" s="15" t="str">
        <x:v>必含</x:v>
      </x:c>
      <x:c r="J47" s="15" t="str">
        <x:v>待确认</x:v>
      </x:c>
      <x:c r="K47" s="7" t="str">
        <x:v>声音表现为本次建议，动作来自对应流程。</x:v>
      </x:c>
    </x:row>
    <x:row r="48" ht="65" customHeight="1">
      <x:c r="A48" s="3" t="str">
        <x:v>S40</x:v>
      </x:c>
      <x:c r="B48" s="3" t="str">
        <x:v>音效</x:v>
      </x:c>
      <x:c r="C48" s="3" t="str">
        <x:v>玩家受击</x:v>
      </x:c>
      <x:c r="D48" s="3" t="str">
        <x:v>实时与回合制战斗</x:v>
      </x:c>
      <x:c r="E48" s="3" t="str">
        <x:v>玩家受击命中</x:v>
      </x:c>
      <x:c r="F48" s="3" t="str">
        <x:v>事件结束即结束。重复动作需变体或限频。</x:v>
      </x:c>
      <x:c r="G48" s="3" t="str">
        <x:v>通用</x:v>
      </x:c>
      <x:c r="H48" s="14" t="n">
        <x:v>3</x:v>
      </x:c>
      <x:c r="I48" s="15" t="str">
        <x:v>必含</x:v>
      </x:c>
      <x:c r="J48" s="15" t="str">
        <x:v>待确认</x:v>
      </x:c>
      <x:c r="K48" s="3" t="str">
        <x:v>建议3个变体，不包含单独人物配音。</x:v>
      </x:c>
    </x:row>
    <x:row r="49" ht="65" customHeight="1">
      <x:c r="A49" s="7" t="str">
        <x:v>S41</x:v>
      </x:c>
      <x:c r="B49" s="7" t="str">
        <x:v>音效</x:v>
      </x:c>
      <x:c r="C49" s="7" t="str">
        <x:v>BOSS受击</x:v>
      </x:c>
      <x:c r="D49" s="7" t="str">
        <x:v>回合制战斗</x:v>
      </x:c>
      <x:c r="E49" s="7" t="str">
        <x:v>BOSS受击命中</x:v>
      </x:c>
      <x:c r="F49" s="7" t="str">
        <x:v>事件结束即结束。重复动作需变体或限频。</x:v>
      </x:c>
      <x:c r="G49" s="7" t="str">
        <x:v>通用</x:v>
      </x:c>
      <x:c r="H49" s="14" t="n">
        <x:v>3</x:v>
      </x:c>
      <x:c r="I49" s="15" t="str">
        <x:v>必含</x:v>
      </x:c>
      <x:c r="J49" s="15" t="str">
        <x:v>待确认</x:v>
      </x:c>
      <x:c r="K49" s="7" t="str">
        <x:v>建议3个变体，普通小怪受击可先复用。</x:v>
      </x:c>
    </x:row>
    <x:row r="50" ht="65" customHeight="1">
      <x:c r="A50" s="3" t="str">
        <x:v>S43</x:v>
      </x:c>
      <x:c r="B50" s="3" t="str">
        <x:v>音效</x:v>
      </x:c>
      <x:c r="C50" s="3" t="str">
        <x:v>BOSS倒下</x:v>
      </x:c>
      <x:c r="D50" s="3" t="str">
        <x:v>阶段一酒肆与BOSS战</x:v>
      </x:c>
      <x:c r="E50" s="3" t="str">
        <x:v>死亡或本形态结束</x:v>
      </x:c>
      <x:c r="F50" s="3" t="str">
        <x:v>事件结束即结束。重复动作需变体或限频。</x:v>
      </x:c>
      <x:c r="G50" s="3" t="str">
        <x:v>通用</x:v>
      </x:c>
      <x:c r="H50" s="14" t="n">
        <x:v>1</x:v>
      </x:c>
      <x:c r="I50" s="15" t="str">
        <x:v>必含</x:v>
      </x:c>
      <x:c r="J50" s="15" t="str">
        <x:v>待确认</x:v>
      </x:c>
      <x:c r="K50" s="3" t="str">
        <x:v>声音表现为本次建议，动作来自对应流程。</x:v>
      </x:c>
    </x:row>
    <x:row r="51" ht="65" customHeight="1">
      <x:c r="A51" s="7" t="str">
        <x:v>S44</x:v>
      </x:c>
      <x:c r="B51" s="7" t="str">
        <x:v>音效</x:v>
      </x:c>
      <x:c r="C51" s="7" t="str">
        <x:v>倒酒</x:v>
      </x:c>
      <x:c r="D51" s="7" t="str">
        <x:v>阶段一酒肆</x:v>
      </x:c>
      <x:c r="E51" s="7" t="str">
        <x:v>灌酒动作</x:v>
      </x:c>
      <x:c r="F51" s="7" t="str">
        <x:v>事件结束即结束。重复动作需变体或限频。</x:v>
      </x:c>
      <x:c r="G51" s="7" t="str">
        <x:v>关卡条件</x:v>
      </x:c>
      <x:c r="H51" s="14" t="n">
        <x:v>1</x:v>
      </x:c>
      <x:c r="I51" s="15" t="str">
        <x:v>条件</x:v>
      </x:c>
      <x:c r="J51" s="15" t="str">
        <x:v>待确认</x:v>
      </x:c>
      <x:c r="K51" s="7" t="str">
        <x:v>醉酒机制采用后制作。饮酒另复用S38。</x:v>
      </x:c>
    </x:row>
    <x:row r="52" ht="65" customHeight="1">
      <x:c r="A52" s="3" t="str">
        <x:v>S45</x:v>
      </x:c>
      <x:c r="B52" s="3" t="str">
        <x:v>音效</x:v>
      </x:c>
      <x:c r="C52" s="3" t="str">
        <x:v>锻打金属</x:v>
      </x:c>
      <x:c r="D52" s="3" t="str">
        <x:v>阶段一金银行</x:v>
      </x:c>
      <x:c r="E52" s="3" t="str">
        <x:v>打造有效点击</x:v>
      </x:c>
      <x:c r="F52" s="3" t="str">
        <x:v>事件结束即结束。重复动作需变体或限频。</x:v>
      </x:c>
      <x:c r="G52" s="3" t="str">
        <x:v>关卡条件</x:v>
      </x:c>
      <x:c r="H52" s="14" t="n">
        <x:v>1</x:v>
      </x:c>
      <x:c r="I52" s="15" t="str">
        <x:v>条件</x:v>
      </x:c>
      <x:c r="J52" s="15" t="str">
        <x:v>待确认</x:v>
      </x:c>
      <x:c r="K52" s="3" t="str">
        <x:v>打造玩法确认后制作，不算普通BGM。</x:v>
      </x:c>
    </x:row>
    <x:row r="53" ht="65" customHeight="1">
      <x:c r="A53" s="7" t="str">
        <x:v>S46</x:v>
      </x:c>
      <x:c r="B53" s="7" t="str">
        <x:v>音效</x:v>
      </x:c>
      <x:c r="C53" s="7" t="str">
        <x:v>打造完成</x:v>
      </x:c>
      <x:c r="D53" s="7" t="str">
        <x:v>阶段一金银行</x:v>
      </x:c>
      <x:c r="E53" s="7" t="str">
        <x:v>金钥匙制作完成</x:v>
      </x:c>
      <x:c r="F53" s="7" t="str">
        <x:v>事件结束即结束。重复动作需变体或限频。</x:v>
      </x:c>
      <x:c r="G53" s="7" t="str">
        <x:v>关卡条件</x:v>
      </x:c>
      <x:c r="H53" s="14" t="n">
        <x:v>1</x:v>
      </x:c>
      <x:c r="I53" s="15" t="str">
        <x:v>条件</x:v>
      </x:c>
      <x:c r="J53" s="15" t="str">
        <x:v>待确认</x:v>
      </x:c>
      <x:c r="K53" s="7" t="str">
        <x:v>可先复用拾取或成功短乐句，独立版本按预算决定。</x:v>
      </x:c>
    </x:row>
    <x:row r="54" ht="65" customHeight="1">
      <x:c r="A54" s="3" t="str">
        <x:v>J01</x:v>
      </x:c>
      <x:c r="B54" s="3" t="str">
        <x:v>短乐句</x:v>
      </x:c>
      <x:c r="C54" s="3" t="str">
        <x:v>战斗胜利</x:v>
      </x:c>
      <x:c r="D54" s="3" t="str">
        <x:v>阶段一BOSS胜利</x:v>
      </x:c>
      <x:c r="E54" s="3" t="str">
        <x:v>确认胜利结果</x:v>
      </x:c>
      <x:c r="F54" s="3" t="str">
        <x:v>播一次后恢复地区音乐。</x:v>
      </x:c>
      <x:c r="G54" s="3" t="str">
        <x:v>基础</x:v>
      </x:c>
      <x:c r="H54" s="14" t="n">
        <x:v>1</x:v>
      </x:c>
      <x:c r="I54" s="15" t="str">
        <x:v>必含</x:v>
      </x:c>
      <x:c r="J54" s="15" t="str">
        <x:v>待确认</x:v>
      </x:c>
      <x:c r="K54" s="3" t="str">
        <x:v>建议1至3秒，不循环。和任务完成提示错开。</x:v>
      </x:c>
    </x:row>
    <x:row r="55" ht="65" customHeight="1">
      <x:c r="A55" s="7" t="str">
        <x:v>J02</x:v>
      </x:c>
      <x:c r="B55" s="7" t="str">
        <x:v>短乐句</x:v>
      </x:c>
      <x:c r="C55" s="7" t="str">
        <x:v>失败与重试</x:v>
      </x:c>
      <x:c r="D55" s="7" t="str">
        <x:v>基础死亡恢复、阶段一BOSS失败</x:v>
      </x:c>
      <x:c r="E55" s="7" t="str">
        <x:v>确认失败并显示恢复入口</x:v>
      </x:c>
      <x:c r="F55" s="7" t="str">
        <x:v>播一次，不持续铺满失败界面。</x:v>
      </x:c>
      <x:c r="G55" s="7" t="str">
        <x:v>基础</x:v>
      </x:c>
      <x:c r="H55" s="14" t="n">
        <x:v>1</x:v>
      </x:c>
      <x:c r="I55" s="15" t="str">
        <x:v>必含</x:v>
      </x:c>
      <x:c r="J55" s="15" t="str">
        <x:v>待确认</x:v>
      </x:c>
      <x:c r="K55" s="7" t="str">
        <x:v>建议1至3秒，不循环。</x:v>
      </x:c>
    </x:row>
    <x:row r="56" ht="65" customHeight="1">
      <x:c r="A56" s="3" t="str">
        <x:v>J03</x:v>
      </x:c>
      <x:c r="B56" s="3" t="str">
        <x:v>短乐句</x:v>
      </x:c>
      <x:c r="C56" s="3" t="str">
        <x:v>关键线索发现</x:v>
      </x:c>
      <x:c r="D56" s="3" t="str">
        <x:v>阶段一关键线索</x:v>
      </x:c>
      <x:c r="E56" s="3" t="str">
        <x:v>重要线索被确认</x:v>
      </x:c>
      <x:c r="F56" s="3" t="str">
        <x:v>播一次，普通拾取不用。</x:v>
      </x:c>
      <x:c r="G56" s="3" t="str">
        <x:v>基础</x:v>
      </x:c>
      <x:c r="H56" s="14" t="n">
        <x:v>1</x:v>
      </x:c>
      <x:c r="I56" s="15" t="str">
        <x:v>必含</x:v>
      </x:c>
      <x:c r="J56" s="15" t="str">
        <x:v>待确认</x:v>
      </x:c>
      <x:c r="K56" s="3" t="str">
        <x:v>建议1至3秒，不循环。</x:v>
      </x:c>
    </x:row>
    <x:row r="57" ht="65" customHeight="1">
      <x:c r="A57" s="7" t="str">
        <x:v>J04</x:v>
      </x:c>
      <x:c r="B57" s="7" t="str">
        <x:v>短乐句</x:v>
      </x:c>
      <x:c r="C57" s="7" t="str">
        <x:v>阶段收束</x:v>
      </x:c>
      <x:c r="D57" s="7" t="str">
        <x:v>阶段一完成或交付</x:v>
      </x:c>
      <x:c r="E57" s="7" t="str">
        <x:v>阶段完成确认</x:v>
      </x:c>
      <x:c r="F57" s="7" t="str">
        <x:v>播一次，之后恢复标题或坊市曲。</x:v>
      </x:c>
      <x:c r="G57" s="7" t="str">
        <x:v>基础</x:v>
      </x:c>
      <x:c r="H57" s="14" t="n">
        <x:v>1</x:v>
      </x:c>
      <x:c r="I57" s="15" t="str">
        <x:v>必含</x:v>
      </x:c>
      <x:c r="J57" s="15" t="str">
        <x:v>待确认</x:v>
      </x:c>
      <x:c r="K57" s="7" t="str">
        <x:v>建议1至3秒，不循环。两界转场复用S13、S14。</x:v>
      </x:c>
    </x:row>
    <x:row r="58" ht="65" customHeight="1">
      <x:c r="A58" s="3" t="str">
        <x:v>P01</x:v>
      </x:c>
      <x:c r="B58" s="3" t="str">
        <x:v>玩法音乐</x:v>
      </x:c>
      <x:c r="C58" s="3" t="str">
        <x:v>戏班音乐解谜段</x:v>
      </x:c>
      <x:c r="D58" s="3" t="str">
        <x:v>阶段一戏班</x:v>
      </x:c>
      <x:c r="E58" s="3" t="str">
        <x:v>指定身份进入音乐玩法</x:v>
      </x:c>
      <x:c r="F58" s="3" t="str">
        <x:v>玩法完成或取消立即结束并恢复地区音乐。</x:v>
      </x:c>
      <x:c r="G58" s="3" t="str">
        <x:v>条件</x:v>
      </x:c>
      <x:c r="H58" s="14" t="n">
        <x:v>1</x:v>
      </x:c>
      <x:c r="I58" s="15" t="str">
        <x:v>条件</x:v>
      </x:c>
      <x:c r="J58" s="15" t="str">
        <x:v>待确认</x:v>
      </x:c>
      <x:c r="K58" s="3" t="str">
        <x:v>光点版和原五轨版未统一。先预留1段玩法音乐，节拍、长度与同步方式须随玩法锁定。已有三首四轨测试歌曲不计新BGM报价。</x:v>
      </x:c>
    </x:row>
    <x:row r="59" ht="65" customHeight="1">
      <x:c r="A59"/>
      <x:c r="B59"/>
      <x:c r="C59"/>
      <x:c r="D59"/>
      <x:c r="E59"/>
      <x:c r="F59"/>
      <x:c r="G59"/>
      <x:c r="H59"/>
      <x:c r="I59"/>
      <x:c r="J59"/>
      <x:c r="K59"/>
    </x:row>
    <x:row r="60" ht="65" customHeight="1">
      <x:c r="A60"/>
      <x:c r="B60"/>
      <x:c r="C60"/>
      <x:c r="D60"/>
      <x:c r="E60"/>
      <x:c r="F60"/>
      <x:c r="G60"/>
      <x:c r="H60"/>
      <x:c r="I60"/>
      <x:c r="J60"/>
      <x:c r="K60"/>
    </x:row>
    <x:row r="61" ht="65" customHeight="1">
      <x:c r="A61"/>
      <x:c r="B61"/>
      <x:c r="C61"/>
      <x:c r="D61"/>
      <x:c r="E61"/>
      <x:c r="F61"/>
      <x:c r="G61"/>
      <x:c r="H61"/>
      <x:c r="I61"/>
      <x:c r="J61"/>
      <x:c r="K61"/>
    </x:row>
    <x:row r="62" ht="65" customHeight="1">
      <x:c r="A62"/>
      <x:c r="B62"/>
      <x:c r="C62"/>
      <x:c r="D62"/>
      <x:c r="E62"/>
      <x:c r="F62"/>
      <x:c r="G62"/>
      <x:c r="H62"/>
      <x:c r="I62"/>
      <x:c r="J62"/>
      <x:c r="K62"/>
    </x:row>
    <x:row r="63" ht="65" customHeight="1">
      <x:c r="A63"/>
      <x:c r="B63"/>
      <x:c r="C63"/>
      <x:c r="D63"/>
      <x:c r="E63"/>
      <x:c r="F63"/>
      <x:c r="G63"/>
      <x:c r="H63"/>
      <x:c r="I63"/>
      <x:c r="J63"/>
      <x:c r="K63"/>
    </x:row>
    <x:row r="64" ht="65" customHeight="1">
      <x:c r="A64"/>
      <x:c r="B64"/>
      <x:c r="C64"/>
      <x:c r="D64"/>
      <x:c r="E64"/>
      <x:c r="F64"/>
      <x:c r="G64"/>
      <x:c r="H64"/>
      <x:c r="I64"/>
      <x:c r="J64"/>
      <x:c r="K64"/>
    </x:row>
    <x:row r="65" ht="65" customHeight="1">
      <x:c r="A65"/>
      <x:c r="B65"/>
      <x:c r="C65"/>
      <x:c r="D65"/>
      <x:c r="E65"/>
      <x:c r="F65"/>
      <x:c r="G65"/>
      <x:c r="H65"/>
      <x:c r="I65"/>
      <x:c r="J65"/>
      <x:c r="K65"/>
    </x:row>
    <x:row r="66" ht="65" customHeight="1">
      <x:c r="A66"/>
      <x:c r="B66"/>
      <x:c r="C66"/>
      <x:c r="D66"/>
      <x:c r="E66"/>
      <x:c r="F66"/>
      <x:c r="G66"/>
      <x:c r="H66"/>
      <x:c r="I66"/>
      <x:c r="J66"/>
      <x:c r="K66"/>
    </x:row>
    <x:row r="67" ht="65" customHeight="1">
      <x:c r="A67"/>
      <x:c r="B67"/>
      <x:c r="C67"/>
      <x:c r="D67"/>
      <x:c r="E67"/>
      <x:c r="F67"/>
      <x:c r="G67"/>
      <x:c r="H67"/>
      <x:c r="I67"/>
      <x:c r="J67"/>
      <x:c r="K67"/>
    </x:row>
    <x:row r="68" ht="65" customHeight="1">
      <x:c r="A68"/>
      <x:c r="B68"/>
      <x:c r="C68"/>
      <x:c r="D68"/>
      <x:c r="E68"/>
      <x:c r="F68"/>
      <x:c r="G68"/>
      <x:c r="H68"/>
      <x:c r="I68"/>
      <x:c r="J68"/>
      <x:c r="K68"/>
    </x:row>
    <x:row r="69" ht="65" customHeight="1">
      <x:c r="A69"/>
      <x:c r="B69"/>
      <x:c r="C69"/>
      <x:c r="D69"/>
      <x:c r="E69"/>
      <x:c r="F69"/>
      <x:c r="G69"/>
      <x:c r="H69"/>
      <x:c r="I69"/>
      <x:c r="J69"/>
      <x:c r="K69"/>
    </x:row>
    <x:row r="70" ht="65" customHeight="1">
      <x:c r="A70"/>
      <x:c r="B70"/>
      <x:c r="C70"/>
      <x:c r="D70"/>
      <x:c r="E70"/>
      <x:c r="F70"/>
      <x:c r="G70"/>
      <x:c r="H70"/>
      <x:c r="I70"/>
      <x:c r="J70"/>
      <x:c r="K70"/>
    </x:row>
    <x:row r="71" ht="65" customHeight="1">
      <x:c r="A71"/>
      <x:c r="B71"/>
      <x:c r="C71"/>
      <x:c r="D71"/>
      <x:c r="E71"/>
      <x:c r="F71"/>
      <x:c r="G71"/>
      <x:c r="H71"/>
      <x:c r="I71"/>
      <x:c r="J71"/>
      <x:c r="K71"/>
    </x:row>
    <x:row r="72" ht="65" customHeight="1">
      <x:c r="A72"/>
      <x:c r="B72"/>
      <x:c r="C72"/>
      <x:c r="D72"/>
      <x:c r="E72"/>
      <x:c r="F72"/>
      <x:c r="G72"/>
      <x:c r="H72"/>
      <x:c r="I72"/>
      <x:c r="J72"/>
      <x:c r="K72"/>
    </x:row>
    <x:row r="73" ht="65" customHeight="1">
      <x:c r="A73"/>
      <x:c r="B73"/>
      <x:c r="C73"/>
      <x:c r="D73"/>
      <x:c r="E73"/>
      <x:c r="F73"/>
      <x:c r="G73"/>
      <x:c r="H73"/>
      <x:c r="I73"/>
      <x:c r="J73"/>
      <x:c r="K73"/>
    </x:row>
    <x:row r="74" ht="65" customHeight="1">
      <x:c r="A74"/>
      <x:c r="B74"/>
      <x:c r="C74"/>
      <x:c r="D74"/>
      <x:c r="E74"/>
      <x:c r="F74"/>
      <x:c r="G74"/>
      <x:c r="H74"/>
      <x:c r="I74"/>
      <x:c r="J74"/>
      <x:c r="K74"/>
    </x:row>
    <x:row r="75" ht="65" customHeight="1">
      <x:c r="A75"/>
      <x:c r="B75"/>
      <x:c r="C75"/>
      <x:c r="D75"/>
      <x:c r="E75"/>
      <x:c r="F75"/>
      <x:c r="G75"/>
      <x:c r="H75"/>
      <x:c r="I75"/>
      <x:c r="J75"/>
      <x:c r="K75"/>
    </x:row>
    <x:row r="76" ht="65" customHeight="1">
      <x:c r="A76"/>
      <x:c r="B76"/>
      <x:c r="C76"/>
      <x:c r="D76"/>
      <x:c r="E76"/>
      <x:c r="F76"/>
      <x:c r="G76"/>
      <x:c r="H76"/>
      <x:c r="I76"/>
      <x:c r="J76"/>
      <x:c r="K76"/>
    </x:row>
    <x:row r="77" ht="65" customHeight="1">
      <x:c r="A77"/>
      <x:c r="B77"/>
      <x:c r="C77"/>
      <x:c r="D77"/>
      <x:c r="E77"/>
      <x:c r="F77"/>
      <x:c r="G77"/>
      <x:c r="H77"/>
      <x:c r="I77"/>
      <x:c r="J77"/>
      <x:c r="K77"/>
    </x:row>
    <x:row r="78" ht="65" customHeight="1">
      <x:c r="A78"/>
      <x:c r="B78"/>
      <x:c r="C78"/>
      <x:c r="D78"/>
      <x:c r="E78"/>
      <x:c r="F78"/>
      <x:c r="G78"/>
      <x:c r="H78"/>
      <x:c r="I78"/>
      <x:c r="J78"/>
      <x:c r="K78"/>
    </x:row>
    <x:row r="79" ht="65" customHeight="1">
      <x:c r="A79"/>
      <x:c r="B79"/>
      <x:c r="C79"/>
      <x:c r="D79"/>
      <x:c r="E79"/>
      <x:c r="F79"/>
      <x:c r="G79"/>
      <x:c r="H79"/>
      <x:c r="I79"/>
      <x:c r="J79"/>
      <x:c r="K79"/>
    </x:row>
    <x:row r="80" ht="65" customHeight="1">
      <x:c r="A80"/>
      <x:c r="B80"/>
      <x:c r="C80"/>
      <x:c r="D80"/>
      <x:c r="E80"/>
      <x:c r="F80"/>
      <x:c r="G80"/>
      <x:c r="H80"/>
      <x:c r="I80"/>
      <x:c r="J80"/>
      <x:c r="K80"/>
    </x:row>
    <x:row r="81" ht="65" customHeight="1">
      <x:c r="A81"/>
      <x:c r="B81"/>
      <x:c r="C81"/>
      <x:c r="D81"/>
      <x:c r="E81"/>
      <x:c r="F81"/>
      <x:c r="G81"/>
      <x:c r="H81"/>
      <x:c r="I81"/>
      <x:c r="J81"/>
      <x:c r="K81"/>
    </x:row>
    <x:row r="82" ht="65" customHeight="1">
      <x:c r="A82"/>
      <x:c r="B82"/>
      <x:c r="C82"/>
      <x:c r="D82"/>
      <x:c r="E82"/>
      <x:c r="F82"/>
      <x:c r="G82"/>
      <x:c r="H82"/>
      <x:c r="I82"/>
      <x:c r="J82"/>
      <x:c r="K82"/>
    </x:row>
    <x:row r="83" ht="65" customHeight="1">
      <x:c r="A83"/>
      <x:c r="B83"/>
      <x:c r="C83"/>
      <x:c r="D83"/>
      <x:c r="E83"/>
      <x:c r="F83"/>
      <x:c r="G83"/>
      <x:c r="H83"/>
      <x:c r="I83"/>
      <x:c r="J83"/>
      <x:c r="K83"/>
    </x:row>
    <x:row r="84" ht="65" customHeight="1">
      <x:c r="A84"/>
      <x:c r="B84"/>
      <x:c r="C84"/>
      <x:c r="D84"/>
      <x:c r="E84"/>
      <x:c r="F84"/>
      <x:c r="G84"/>
      <x:c r="H84"/>
      <x:c r="I84"/>
      <x:c r="J84"/>
      <x:c r="K84"/>
    </x:row>
    <x:row r="85" ht="65" customHeight="1">
      <x:c r="A85"/>
      <x:c r="B85"/>
      <x:c r="C85"/>
      <x:c r="D85"/>
      <x:c r="E85"/>
      <x:c r="F85"/>
      <x:c r="G85"/>
      <x:c r="H85"/>
      <x:c r="I85"/>
      <x:c r="J85"/>
      <x:c r="K85"/>
    </x:row>
    <x:row r="86" ht="65" customHeight="1">
      <x:c r="A86"/>
      <x:c r="B86"/>
      <x:c r="C86"/>
      <x:c r="D86"/>
      <x:c r="E86"/>
      <x:c r="F86"/>
      <x:c r="G86"/>
      <x:c r="H86"/>
      <x:c r="I86"/>
      <x:c r="J86"/>
      <x:c r="K86"/>
    </x:row>
    <x:row r="87" ht="65" customHeight="1">
      <x:c r="A87"/>
      <x:c r="B87"/>
      <x:c r="C87"/>
      <x:c r="D87"/>
      <x:c r="E87"/>
      <x:c r="F87"/>
      <x:c r="G87"/>
      <x:c r="H87"/>
      <x:c r="I87"/>
      <x:c r="J87"/>
      <x:c r="K87"/>
    </x:row>
    <x:row r="88" ht="65" customHeight="1">
      <x:c r="A88"/>
      <x:c r="B88"/>
      <x:c r="C88"/>
      <x:c r="D88"/>
      <x:c r="E88"/>
      <x:c r="F88"/>
      <x:c r="G88"/>
      <x:c r="H88"/>
      <x:c r="I88"/>
      <x:c r="J88"/>
      <x:c r="K88"/>
    </x:row>
    <x:row r="89" ht="65" customHeight="1">
      <x:c r="A89"/>
      <x:c r="B89"/>
      <x:c r="C89"/>
      <x:c r="D89"/>
      <x:c r="E89"/>
      <x:c r="F89"/>
      <x:c r="G89"/>
      <x:c r="H89"/>
      <x:c r="I89"/>
      <x:c r="J89"/>
      <x:c r="K89"/>
    </x:row>
  </x:sheetData>
  <x:dataValidations count="3">
    <x:dataValidation type="list" sqref="I59:I89">
      <x:formula1>"是,否"</x:formula1>
    </x:dataValidation>
    <x:dataValidation type="list" sqref="J5:J89">
      <x:formula1>"待确认,采纳,暂缓"</x:formula1>
    </x:dataValidation>
    <x:dataValidation type="list" sqref="I5:I58">
      <x:formula1>"必含,条件,可选"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5b6099596b4393"/>
  </x:tableParts>
</x:worksheet>
</file>