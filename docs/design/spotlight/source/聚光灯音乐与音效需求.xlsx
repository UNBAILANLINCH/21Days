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56b65d288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总览" sheetId="1" r:id="Red394378f7544a32"/>
    <x:sheet xmlns:r="http://schemas.openxmlformats.org/officeDocument/2006/relationships" name="全流程用途" sheetId="2" r:id="R93b05f0ff3ea4d4d"/>
    <x:sheet xmlns:r="http://schemas.openxmlformats.org/officeDocument/2006/relationships" name="素材清单" sheetId="3" r:id="R7bb00792c97b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42424"/>
      <x:name val="Arial"/>
    </x:font>
    <x:font>
      <x:b/>
      <x:sz val="11"/>
      <x:color rgb="FFFFFFFF"/>
      <x:name val="Arial"/>
    </x:font>
    <x:font>
      <x:b/>
      <x:sz val="16"/>
      <x:name val="Arial"/>
    </x:font>
    <x:font>
      <x:sz val="11"/>
      <x:color rgb="FF5C6570"/>
      <x:name val="Arial"/>
    </x:font>
    <x:font>
      <x:b/>
      <x:sz val="16"/>
      <x:color rgb="FF24242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14A59"/>
      </x:patternFill>
    </x:fill>
    <x:fill>
      <x:patternFill patternType="solid">
        <x:fgColor rgb="FFF5F6F8"/>
      </x:patternFill>
    </x:fill>
    <x:fill>
      <x:patternFill patternType="solid">
        <x:fgColor rgb="FFFFF3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94aeec49e4402" /><Relationship Type="http://schemas.openxmlformats.org/officeDocument/2006/relationships/theme" Target="/xl/theme/theme1.xml" Id="Ra9ff1c3557b54dc7" /><Relationship Type="http://schemas.openxmlformats.org/officeDocument/2006/relationships/sharedStrings" Target="/xl/sharedStrings.xml" Id="R09e1b13f22f144aa" /><Relationship Type="http://schemas.openxmlformats.org/officeDocument/2006/relationships/worksheet" Target="/xl/worksheets/sheet1.xml" Id="Red394378f7544a32" /><Relationship Type="http://schemas.openxmlformats.org/officeDocument/2006/relationships/worksheet" Target="/xl/worksheets/sheet2.xml" Id="R93b05f0ff3ea4d4d" /><Relationship Type="http://schemas.openxmlformats.org/officeDocument/2006/relationships/worksheet" Target="/xl/worksheets/sheet3.xml" Id="R7bb00792c97b45b4" /></Relationships>
</file>

<file path=xl/tables/table1.xml><?xml version="1.0" encoding="utf-8"?>
<x:table xmlns:x="http://schemas.openxmlformats.org/spreadsheetml/2006/main" id="2" name="GameFlowAudioUses" displayName="GameFlowAudioUses" ref="A4:G30" headerRowCount="1" totalsRowCount="0" totalsRowShown="0">
  <x:tableColumns count="7">
    <x:tableColumn id="1" name="流程"/>
    <x:tableColumn id="2" name="位置与活动"/>
    <x:tableColumn id="3" name="BGM用途"/>
    <x:tableColumn id="4" name="音效用途"/>
    <x:tableColumn id="5" name="切换与恢复"/>
    <x:tableColumn id="6" name="当前状态"/>
    <x:tableColumn id="7" name="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udioAssetUses" displayName="AudioAssetUses" ref="A4:K89" headerRowCount="1" totalsRowCount="0" totalsRowShown="0">
  <x:tableColumns count="11">
    <x:tableColumn id="1" name="编号"/>
    <x:tableColumn id="2" name="类别"/>
    <x:tableColumn id="3" name="用途"/>
    <x:tableColumn id="4" name="关联流程"/>
    <x:tableColumn id="5" name="开始条件"/>
    <x:tableColumn id="6" name="结束与复用"/>
    <x:tableColumn id="7" name="制作范围"/>
    <x:tableColumn id="8" name="建议文件数"/>
    <x:tableColumn id="9" name="首圈"/>
    <x:tableColumn id="10" name="制作确认"/>
    <x:tableColumn id="11" name="声音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c7a51821f947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531571976442cb" /></Relationships>
</file>

<file path=xl/worksheets/sheet1.xml><?xml version="1.0" encoding="utf-8"?>
<x:worksheet xmlns:x="http://schemas.openxmlformats.org/spreadsheetml/2006/main">
  <x:sheetPr>
    <x:tabColor rgb="FF414A59"/>
  </x:sheetPr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5" hidden="0" customWidth="1"/>
    <x:col min="4" max="4" width="14" hidden="0" customWidth="1"/>
    <x:col min="5" max="5" width="69" hidden="0" customWidth="1"/>
  </x:cols>
  <x:sheetData>
    <x:row r="2">
      <x:c r="A2" s="16" t="str">
        <x:v>聚光灯音乐与音效需求</x:v>
      </x:c>
    </x:row>
    <x:row r="3">
      <x:c r="A3" s="9" t="str">
        <x:v>2026-10-12 制作建议</x:v>
      </x:c>
      <x:c r="B3" s="9"/>
      <x:c r="C3" s="9"/>
      <x:c r="D3" s="9"/>
      <x:c r="E3" s="9"/>
    </x:row>
    <x:row r="5" ht="35" customHeight="1">
      <x:c r="A5" s="20" t="str">
        <x:v>类别</x:v>
      </x:c>
      <x:c r="B5" s="20" t="str">
        <x:v>用途组数</x:v>
      </x:c>
      <x:c r="C5" s="20" t="str">
        <x:v>建议文件数</x:v>
      </x:c>
      <x:c r="D5" s="20" t="str">
        <x:v>首圈用途组</x:v>
      </x:c>
      <x:c r="E5" s="20" t="str">
        <x:v>范围说明</x:v>
      </x:c>
    </x:row>
    <x:row r="6" ht="40" customHeight="1">
      <x:c r="A6" s="3" t="str">
        <x:v>循环BGM 基础</x:v>
      </x:c>
      <x:c r="B6" s="13" t="n">
        <x:f>COUNTIFS('素材清单'!$B$5:$B$89,"BGM",'素材清单'!$G$5:$G$89,"基础")</x:f>
        <x:v>10</x:v>
      </x:c>
      <x:c r="C6" s="13" t="n">
        <x:f>SUMIFS('素材清单'!$H$5:$H$89,'素材清单'!$B$5:$B$89,"BGM",'素材清单'!$G$5:$G$89,"基础")</x:f>
        <x:v>10</x:v>
      </x:c>
      <x:c r="D6" s="13" t="n">
        <x:f>COUNTIFS('素材清单'!$B$5:$B$89,"BGM",'素材清单'!$G$5:$G$89,"基础",'素材清单'!$I$5:$I$89,"是")</x:f>
        <x:v>5</x:v>
      </x:c>
      <x:c r="E6" s="3" t="str">
        <x:v>12种音乐情境合并为10组曲目。标题与结案共用，水灾潜行与警戒共用。</x:v>
      </x:c>
    </x:row>
    <x:row r="7" ht="40" customHeight="1">
      <x:c r="A7" s="3" t="str">
        <x:v>循环BGM 可选专属</x:v>
      </x:c>
      <x:c r="B7" s="13" t="n">
        <x:f>COUNTIFS('素材清单'!$B$5:$B$89,"BGM",'素材清单'!$G$5:$G$89,"扩展")</x:f>
        <x:v>3</x:v>
      </x:c>
      <x:c r="C7" s="13" t="n">
        <x:f>SUMIFS('素材清单'!$H$5:$H$89,'素材清单'!$B$5:$B$89,"BGM",'素材清单'!$G$5:$G$89,"扩展")</x:f>
        <x:v>3</x:v>
      </x:c>
      <x:c r="D7" s="13" t="n">
        <x:f>COUNTIFS('素材清单'!$B$5:$B$89,"BGM",'素材清单'!$G$5:$G$89,"扩展",'素材清单'!$I$5:$I$89,"是")</x:f>
        <x:v>0</x:v>
      </x:c>
      <x:c r="E7" s="3" t="str">
        <x:v>分福祠及钱塘君两形态主题，按预算决定。</x:v>
      </x:c>
    </x:row>
    <x:row r="8" ht="40" customHeight="1">
      <x:c r="A8" s="3" t="str">
        <x:v>普通音效 通用</x:v>
      </x:c>
      <x:c r="B8" s="13" t="n">
        <x:f>COUNTIFS('素材清单'!$B$5:$B$89,"音效",'素材清单'!$G$5:$G$89,"通用")</x:f>
        <x:v>43</x:v>
      </x:c>
      <x:c r="C8" s="13" t="n">
        <x:f>SUMIFS('素材清单'!$H$5:$H$89,'素材清单'!$B$5:$B$89,"音效",'素材清单'!$G$5:$G$89,"通用")</x:f>
        <x:v>53</x:v>
      </x:c>
      <x:c r="D8" s="13" t="n">
        <x:f>COUNTIFS('素材清单'!$B$5:$B$89,"音效",'素材清单'!$G$5:$G$89,"通用",'素材清单'!$I$5:$I$89,"是")</x:f>
        <x:v>35</x:v>
      </x:c>
      <x:c r="E8" s="3" t="str">
        <x:v>UI、移动、交互、身份、潜行与基础战斗。</x:v>
      </x:c>
    </x:row>
    <x:row r="9" ht="40" customHeight="1">
      <x:c r="A9" s="3" t="str">
        <x:v>普通音效 关卡条件</x:v>
      </x:c>
      <x:c r="B9" s="13" t="n">
        <x:f>COUNTIFS('素材清单'!$B$5:$B$89,"音效",'素材清单'!$G$5:$G$89,"关卡条件")</x:f>
        <x:v>17</x:v>
      </x:c>
      <x:c r="C9" s="13" t="n">
        <x:f>SUMIFS('素材清单'!$H$5:$H$89,'素材清单'!$B$5:$B$89,"音效",'素材清单'!$G$5:$G$89,"关卡条件")</x:f>
        <x:v>17</x:v>
      </x:c>
      <x:c r="D9" s="13" t="n">
        <x:f>COUNTIFS('素材清单'!$B$5:$B$89,"音效",'素材清单'!$G$5:$G$89,"关卡条件",'素材清单'!$I$5:$I$89,"是")</x:f>
        <x:v>0</x:v>
      </x:c>
      <x:c r="E9" s="3" t="str">
        <x:v>打造、水位、仪式、龙族等，随玩法确认制作。</x:v>
      </x:c>
    </x:row>
    <x:row r="10" ht="40" customHeight="1">
      <x:c r="A10" s="3" t="str">
        <x:v>短乐句</x:v>
      </x:c>
      <x:c r="B10" s="13" t="n">
        <x:f>COUNTIFS('素材清单'!$B$5:$B$89,"短乐句",'素材清单'!$G$5:$G$89,"基础")</x:f>
        <x:v>4</x:v>
      </x:c>
      <x:c r="C10" s="13" t="n">
        <x:f>SUMIFS('素材清单'!$H$5:$H$89,'素材清单'!$B$5:$B$89,"短乐句",'素材清单'!$G$5:$G$89,"基础")</x:f>
        <x:v>4</x:v>
      </x:c>
      <x:c r="D10" s="13" t="n">
        <x:f>COUNTIFS('素材清单'!$B$5:$B$89,"短乐句",'素材清单'!$G$5:$G$89,"基础",'素材清单'!$I$5:$I$89,"是")</x:f>
        <x:v>4</x:v>
      </x:c>
      <x:c r="E10" s="3" t="str">
        <x:v>胜利、失败、关键发现、阶段收束，各一段。</x:v>
      </x:c>
    </x:row>
    <x:row r="11" ht="40" customHeight="1">
      <x:c r="A11" s="3" t="str">
        <x:v>环境循环</x:v>
      </x:c>
      <x:c r="B11" s="13" t="n">
        <x:f>COUNTIFS('素材清单'!$B$5:$B$89,"环境循环",'素材清单'!$G$5:$G$89,"基础")</x:f>
        <x:v>7</x:v>
      </x:c>
      <x:c r="C11" s="13" t="n">
        <x:f>SUMIFS('素材清单'!$H$5:$H$89,'素材清单'!$B$5:$B$89,"环境循环",'素材清单'!$G$5:$G$89,"基础")</x:f>
        <x:v>7</x:v>
      </x:c>
      <x:c r="D11" s="13" t="n">
        <x:f>COUNTIFS('素材清单'!$B$5:$B$89,"环境循环",'素材清单'!$G$5:$G$89,"基础",'素材清单'!$I$5:$I$89,"是")</x:f>
        <x:v>1</x:v>
      </x:c>
      <x:c r="E11" s="3" t="str">
        <x:v>7种音景建议，井底是否实际表现仍待确认。</x:v>
      </x:c>
    </x:row>
    <x:row r="12" ht="40" customHeight="1">
      <x:c r="A12" s="3" t="str">
        <x:v>玩法音乐 待定</x:v>
      </x:c>
      <x:c r="B12" s="13" t="n">
        <x:f>COUNTIFS('素材清单'!$B$5:$B$89,"玩法音乐",'素材清单'!$G$5:$G$89,"条件")</x:f>
        <x:v>1</x:v>
      </x:c>
      <x:c r="C12" s="13" t="n">
        <x:f>SUMIFS('素材清单'!$H$5:$H$89,'素材清单'!$B$5:$B$89,"玩法音乐",'素材清单'!$G$5:$G$89,"条件")</x:f>
        <x:v>1</x:v>
      </x:c>
      <x:c r="D12" s="13" t="n">
        <x:f>COUNTIFS('素材清单'!$B$5:$B$89,"玩法音乐",'素材清单'!$G$5:$G$89,"条件",'素材清单'!$I$5:$I$89,"是")</x:f>
        <x:v>0</x:v>
      </x:c>
      <x:c r="E12" s="3" t="str">
        <x:v>戏班暂预留一段，须先确定光点／音游玩法。</x:v>
      </x:c>
    </x:row>
    <x:row r="15" ht="48" customHeight="1">
      <x:c r="A15" s="2" t="str">
        <x:v>数量口径</x:v>
      </x:c>
      <x:c r="B15" s="2"/>
      <x:c r="C15" s="2"/>
      <x:c r="D15" s="2"/>
      <x:c r="E15" s="3" t="str">
        <x:v>用途组不是触发次数。普通音效通用与关卡条件合计60组，建议70个文件。短乐句另计4段。</x:v>
      </x:c>
    </x:row>
    <x:row r="16" ht="48" customHeight="1">
      <x:c r="A16" s="2" t="str">
        <x:v>复用口径</x:v>
      </x:c>
      <x:c r="B16" s="2"/>
      <x:c r="C16" s="2"/>
      <x:c r="D16" s="2"/>
      <x:c r="E16" s="3" t="str">
        <x:v>走跑潜行共用地面脚步组。建议石、木、水各3个变体；玩家与BOSS受击各3个变体。</x:v>
      </x:c>
    </x:row>
    <x:row r="17" ht="48" customHeight="1">
      <x:c r="A17" s="2" t="str">
        <x:v>已有音频</x:v>
      </x:c>
      <x:c r="B17" s="2"/>
      <x:c r="C17" s="2"/>
      <x:c r="D17" s="2"/>
      <x:c r="E17" s="3" t="str">
        <x:v>标题有候选文件，未确认正式采用。三首独立四轨测试曲不计新BGM或戏班玩法曲报价。</x:v>
      </x:c>
    </x:row>
    <x:row r="18" ht="48" customHeight="1">
      <x:c r="A18" s="2" t="str">
        <x:v>首圈优先</x:v>
      </x:c>
      <x:c r="B18" s="2"/>
      <x:c r="C18" s="2"/>
      <x:c r="D18" s="2"/>
      <x:c r="E18" s="3" t="str">
        <x:v>5组BGM、35组通用音效、4短乐句、1环境循环。35组音效建议43个变体文件。</x:v>
      </x:c>
    </x:row>
    <x:row r="19" ht="48" customHeight="1">
      <x:c r="A19" s="2" t="str">
        <x:v>交付要求</x:v>
      </x:c>
      <x:c r="B19" s="2"/>
      <x:c r="C19" s="2"/>
      <x:c r="D19" s="2"/>
      <x:c r="E19" s="3" t="str">
        <x:v>优先WAV母版。循环曲与环境声注明loop起止，短声清理无意义静音，附用途、版本与时长。</x:v>
      </x:c>
    </x:row>
    <x:row r="20" ht="48" customHeight="1">
      <x:c r="A20" s="2" t="str">
        <x:v>播放方案</x:v>
      </x:c>
      <x:c r="B20" s="2"/>
      <x:c r="C20" s="2"/>
      <x:c r="D20" s="2"/>
      <x:c r="E20" s="3" t="str">
        <x:v>首期按完整混音切曲。现有一路BGM先淡出再淡入，多层音乐与环境循环须另补控制接口。</x:v>
      </x:c>
    </x:row>
    <x:row r="21" ht="48" customHeight="1">
      <x:c r="A21" s="2" t="str">
        <x:v>内容待定</x:v>
      </x:c>
      <x:c r="B21" s="2"/>
      <x:c r="C21" s="2"/>
      <x:c r="D21" s="2"/>
      <x:c r="E21" s="3" t="str">
        <x:v>阶段一两套方案、戏班音乐形式、正式BOSS形态、剧情演出时长未全部锁定。条件项先不承诺最终量。</x:v>
      </x:c>
    </x:row>
    <x:row r="22" ht="48" customHeight="1">
      <x:c r="A22" s="2" t="str">
        <x:v>制作确认</x:v>
      </x:c>
      <x:c r="B22" s="2"/>
      <x:c r="C22" s="2"/>
      <x:c r="D22" s="2"/>
      <x:c r="E22" s="3" t="str">
        <x:v>素材清单中的文件数、首圈列、制作确认可调整。当前汇总是规划量，不是已确认订单或已接入数量。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6" hidden="0" customWidth="1"/>
    <x:col min="4" max="4" width="40" hidden="0" customWidth="1"/>
    <x:col min="5" max="5" width="48" hidden="0" customWidth="1"/>
    <x:col min="6" max="6" width="37" hidden="0" customWidth="1"/>
    <x:col min="7" max="7" width="33" hidden="0" customWidth="1"/>
  </x:cols>
  <x:sheetData>
    <x:row r="2">
      <x:c r="A2" s="8" t="str">
        <x:v>全游戏流程与声音用途</x:v>
      </x:c>
      <x:c r="C2" t="str">
        <x:v>覆盖序章、十二阶段与系统状态。用途建议不代表这些内容已实装。</x:v>
      </x:c>
    </x:row>
    <x:row r="4" ht="34" customHeight="1">
      <x:c r="A4" s="6" t="str">
        <x:v>流程</x:v>
      </x:c>
      <x:c r="B4" s="6" t="str">
        <x:v>位置与活动</x:v>
      </x:c>
      <x:c r="C4" s="6" t="str">
        <x:v>BGM用途</x:v>
      </x:c>
      <x:c r="D4" s="6" t="str">
        <x:v>音效用途</x:v>
      </x:c>
      <x:c r="E4" s="6" t="str">
        <x:v>切换与恢复</x:v>
      </x:c>
      <x:c r="F4" s="6" t="str">
        <x:v>当前状态</x:v>
      </x:c>
      <x:c r="G4" s="6" t="str">
        <x:v>依据</x:v>
      </x:c>
    </x:row>
    <x:row r="5" ht="65" customHeight="1">
      <x:c r="A5" s="7" t="str">
        <x:v>标题与新游戏</x:v>
      </x:c>
      <x:c r="B5" s="7" t="str">
        <x:v>标题、选槽、教程</x:v>
      </x:c>
      <x:c r="C5" s="7" t="str">
        <x:v>B01</x:v>
      </x:c>
      <x:c r="D5" s="7" t="str">
        <x:v>UI导航、确认、取消、面板开关</x:v>
      </x:c>
      <x:c r="E5" s="7" t="str">
        <x:v>开始后切地区曲，教程不新写一首。</x:v>
      </x:c>
      <x:c r="F5" s="7" t="str">
        <x:v>标题功能已有，普通BGM接线需核对。</x:v>
      </x:c>
      <x:c r="G5" s="7" t="str">
        <x:v>系统流程、声音使用建议</x:v>
      </x:c>
    </x:row>
    <x:row r="6" ht="65" customHeight="1">
      <x:c r="A6" s="3" t="str">
        <x:v>序章</x:v>
      </x:c>
      <x:c r="B6" s="3" t="str">
        <x:v>现生、镜子、潜行、暗杀、扮演、BOSS</x:v>
      </x:c>
      <x:c r="C6" s="3" t="str">
        <x:v>B02／B04／B09</x:v>
      </x:c>
      <x:c r="D6" s="3" t="str">
        <x:v>脚步、转场、处决、装备、控制、战斗</x:v>
      </x:c>
      <x:c r="E6" s="3" t="str">
        <x:v>镜面转场后按所在世界重选。序章边界未定。</x:v>
      </x:c>
      <x:c r="F6" s="3" t="str">
        <x:v>设计流程，正式序章未串成内容。</x:v>
      </x:c>
      <x:c r="G6" s="3" t="str">
        <x:v>序章流程画板</x:v>
      </x:c>
    </x:row>
    <x:row r="7" ht="65" customHeight="1">
      <x:c r="A7" s="7" t="str">
        <x:v>阶段一街面</x:v>
      </x:c>
      <x:c r="B7" s="7" t="str">
        <x:v>戏班、衣肆、金银行、客栈、酒肆门口</x:v>
      </x:c>
      <x:c r="C7" s="7" t="str">
        <x:v>B03，警戒B04，追逐B08</x:v>
      </x:c>
      <x:c r="D7" s="7" t="str">
        <x:v>脚步、核验、控制、对白交互、物品与门</x:v>
      </x:c>
      <x:c r="E7" s="7" t="str">
        <x:v>各店不单独换BGM，特殊玩法临时覆盖。</x:v>
      </x:c>
      <x:c r="F7" s="7" t="str">
        <x:v>有综合试玩能力，正式坊市内容未完成。</x:v>
      </x:c>
      <x:c r="G7" s="7" t="str">
        <x:v>阶段一设计文档、坊市原图</x:v>
      </x:c>
    </x:row>
    <x:row r="8" ht="65" customHeight="1">
      <x:c r="A8" s="3" t="str">
        <x:v>阶段一戏班</x:v>
      </x:c>
      <x:c r="B8" s="3" t="str">
        <x:v>都知调巡逻、乐正音乐解谜</x:v>
      </x:c>
      <x:c r="C8" s="3" t="str">
        <x:v>B03／P01</x:v>
      </x:c>
      <x:c r="D8" s="3" t="str">
        <x:v>驯服、控制、身份、玩法有效／无效反馈</x:v>
      </x:c>
      <x:c r="E8" s="3" t="str">
        <x:v>演奏段替代背景曲，退出后回B03。</x:v>
      </x:c>
      <x:c r="F8" s="3" t="str">
        <x:v>四轨音游独立；原光点解谜尚未正式接入。</x:v>
      </x:c>
      <x:c r="G8" s="3" t="str">
        <x:v>阶段一设计文档、主页改动</x:v>
      </x:c>
    </x:row>
    <x:row r="9" ht="65" customHeight="1">
      <x:c r="A9" s="7" t="str">
        <x:v>阶段一金银行</x:v>
      </x:c>
      <x:c r="B9" s="7" t="str">
        <x:v>改拨料文书、打造钥匙</x:v>
      </x:c>
      <x:c r="C9" s="7" t="str">
        <x:v>B03</x:v>
      </x:c>
      <x:c r="D9" s="7" t="str">
        <x:v>文书、锻打、打造完成、拾取</x:v>
      </x:c>
      <x:c r="E9" s="7" t="str">
        <x:v>打造可保持地区BGM，不额外需要一首。</x:v>
      </x:c>
      <x:c r="F9" s="7" t="str">
        <x:v>白盒可用箱子，打造小游戏尚未落地。</x:v>
      </x:c>
      <x:c r="G9" s="7" t="str">
        <x:v>阶段一设计文档</x:v>
      </x:c>
    </x:row>
    <x:row r="10" ht="65" customHeight="1">
      <x:c r="A10" s="3" t="str">
        <x:v>阶段一酒肆</x:v>
      </x:c>
      <x:c r="B10" s="3" t="str">
        <x:v>灌酒、醉酒、回合制BOSS</x:v>
      </x:c>
      <x:c r="C10" s="3" t="str">
        <x:v>B03／B09</x:v>
      </x:c>
      <x:c r="D10" s="3" t="str">
        <x:v>倒酒、饮酒、三招式、受击、胜负短乐句</x:v>
      </x:c>
      <x:c r="E10" s="3" t="str">
        <x:v>进战斗替换地区曲，收场后恢复。</x:v>
      </x:c>
      <x:c r="F10" s="3" t="str">
        <x:v>样例战斗已接，真实场外醉酒未完整接入。</x:v>
      </x:c>
      <x:c r="G10" s="3" t="str">
        <x:v>阶段一设计、回合制作战文档</x:v>
      </x:c>
    </x:row>
    <x:row r="11" ht="65" customHeight="1">
      <x:c r="A11" s="7" t="str">
        <x:v>阶段二 名册勘察</x:v>
      </x:c>
      <x:c r="B11" s="7" t="str">
        <x:v>轮回堂与人间官府对照文书</x:v>
      </x:c>
      <x:c r="C11" s="7" t="str">
        <x:v>B03／B02</x:v>
      </x:c>
      <x:c r="D11" s="7" t="str">
        <x:v>镜面转场、文书展开、翻页、关键发现</x:v>
      </x:c>
      <x:c r="E11" s="7" t="str">
        <x:v>跨界切地区曲，普通对话保留地区音乐。</x:v>
      </x:c>
      <x:c r="F11" s="7" t="str">
        <x:v>目标设计，真实阶段内容未接。</x:v>
      </x:c>
      <x:c r="G11" s="7" t="str">
        <x:v>剧情大纲阶段二</x:v>
      </x:c>
    </x:row>
    <x:row r="12" ht="65" customHeight="1">
      <x:c r="A12" s="3" t="str">
        <x:v>阶段三 验堤</x:v>
      </x:c>
      <x:c r="B12" s="3" t="str">
        <x:v>水口、里巷、决堤、官署、抄房</x:v>
      </x:c>
      <x:c r="C12" s="3" t="str">
        <x:v>B04，追逐B08</x:v>
      </x:c>
      <x:c r="D12" s="3" t="str">
        <x:v>湿脚步、水位、水痕影、篮子、追逐、抄录</x:v>
      </x:c>
      <x:c r="E12" s="3" t="str">
        <x:v>调查潜行与风险同主题，水环境A03。</x:v>
      </x:c>
      <x:c r="F12" s="3" t="str">
        <x:v>规则与事实已有，水位关卡未成完整内容。</x:v>
      </x:c>
      <x:c r="G12" s="3" t="str">
        <x:v>剧情大纲、战斗阶段设计阶段三</x:v>
      </x:c>
    </x:row>
    <x:row r="13" ht="65" customHeight="1">
      <x:c r="A13" s="7" t="str">
        <x:v>阶段四 赈粮账</x:v>
      </x:c>
      <x:c r="B13" s="7" t="str">
        <x:v>查历年赈粮册</x:v>
      </x:c>
      <x:c r="C13" s="7" t="str">
        <x:v>B02</x:v>
      </x:c>
      <x:c r="D13" s="7" t="str">
        <x:v>文书、翻页、关键发现</x:v>
      </x:c>
      <x:c r="E13" s="7" t="str">
        <x:v>重复名字被确认时可用J03，不每翻一页切曲。</x:v>
      </x:c>
      <x:c r="F13" s="7" t="str">
        <x:v>目标设计。</x:v>
      </x:c>
      <x:c r="G13" s="7" t="str">
        <x:v>剧情大纲阶段四</x:v>
      </x:c>
    </x:row>
    <x:row r="14" ht="65" customHeight="1">
      <x:c r="A14" s="3" t="str">
        <x:v>阶段五 实地勘察</x:v>
      </x:c>
      <x:c r="B14" s="3" t="str">
        <x:v>乡间、祠堂、坟地、女主分歧</x:v>
      </x:c>
      <x:c r="C14" s="3" t="str">
        <x:v>B02，情绪节点B10</x:v>
      </x:c>
      <x:c r="D14" s="3" t="str">
        <x:v>脚步、物证拾取、文书、关键发现</x:v>
      </x:c>
      <x:c r="E14" s="3" t="str">
        <x:v>分歧演出可覆盖B10，具体切点待演出。</x:v>
      </x:c>
      <x:c r="F14" s="3" t="str">
        <x:v>目标设计。</x:v>
      </x:c>
      <x:c r="G14" s="3" t="str">
        <x:v>剧情大纲阶段五</x:v>
      </x:c>
    </x:row>
    <x:row r="15" ht="65" customHeight="1">
      <x:c r="A15" s="7" t="str">
        <x:v>阶段六 前往</x:v>
      </x:c>
      <x:c r="B15" s="7" t="str">
        <x:v>分福仪式、信众附身、队列、两形态战斗</x:v>
      </x:c>
      <x:c r="C15" s="7" t="str">
        <x:v>B05／B06／B08／B09，可选B11</x:v>
      </x:c>
      <x:c r="D15" s="7" t="str">
        <x:v>脚步、接碗、供桌、信众消耗、暴露、变形</x:v>
      </x:c>
      <x:c r="E15" s="7" t="str">
        <x:v>本体与信众音乐成对切换；追逐、战斗优先。</x:v>
      </x:c>
      <x:c r="F15" s="7" t="str">
        <x:v>队列与视角关卡未完整接入。</x:v>
      </x:c>
      <x:c r="G15" s="7" t="str">
        <x:v>剧情大纲、战斗阶段设计阶段六</x:v>
      </x:c>
    </x:row>
    <x:row r="16" ht="65" customHeight="1">
      <x:c r="A16" s="3" t="str">
        <x:v>阶段七 弥勒教</x:v>
      </x:c>
      <x:c r="B16" s="3" t="str">
        <x:v>追溯供粮、失踪者与吃人真相</x:v>
      </x:c>
      <x:c r="C16" s="3" t="str">
        <x:v>B02／B10</x:v>
      </x:c>
      <x:c r="D16" s="3" t="str">
        <x:v>文书、关键发现</x:v>
      </x:c>
      <x:c r="E16" s="3" t="str">
        <x:v>普通调查B02，真相演出B10。</x:v>
      </x:c>
      <x:c r="F16" s="3" t="str">
        <x:v>目标设计。</x:v>
      </x:c>
      <x:c r="G16" s="3" t="str">
        <x:v>剧情大纲阶段七</x:v>
      </x:c>
    </x:row>
    <x:row r="17" ht="65" customHeight="1">
      <x:c r="A17" s="7" t="str">
        <x:v>阶段八 找官</x:v>
      </x:c>
      <x:c r="B17" s="7" t="str">
        <x:v>官府查记录，回妖界寻找老吏</x:v>
      </x:c>
      <x:c r="C17" s="7" t="str">
        <x:v>B02／B03／B04</x:v>
      </x:c>
      <x:c r="D17" s="7" t="str">
        <x:v>转场、文书、线索确认</x:v>
      </x:c>
      <x:c r="E17" s="7" t="str">
        <x:v>按世界恢复音乐，不因每次NPC交互换曲。</x:v>
      </x:c>
      <x:c r="F17" s="7" t="str">
        <x:v>目标设计。</x:v>
      </x:c>
      <x:c r="G17" s="7" t="str">
        <x:v>剧情大纲阶段八</x:v>
      </x:c>
    </x:row>
    <x:row r="18" ht="65" customHeight="1">
      <x:c r="A18" s="3" t="str">
        <x:v>阶段九迷宫</x:v>
      </x:c>
      <x:c r="B18" s="3" t="str">
        <x:v>镜子房间、揭露、巡逻队、幻象</x:v>
      </x:c>
      <x:c r="C18" s="3" t="str">
        <x:v>B07／B08</x:v>
      </x:c>
      <x:c r="D18" s="3" t="str">
        <x:v>转场、揭露、幻象破除、镜照识破、追逐</x:v>
      </x:c>
      <x:c r="E18" s="3" t="str">
        <x:v>幻象可先共用B07，破除用短音效。</x:v>
      </x:c>
      <x:c r="F18" s="3" t="str">
        <x:v>迷宫与揭露关卡未完成。</x:v>
      </x:c>
      <x:c r="G18" s="3" t="str">
        <x:v>战斗阶段设计阶段九</x:v>
      </x:c>
    </x:row>
    <x:row r="19" ht="65" customHeight="1">
      <x:c r="A19" s="7" t="str">
        <x:v>阶段九BOSS</x:v>
      </x:c>
      <x:c r="B19" s="7" t="str">
        <x:v>泾龙鬼、钱塘君人形与龙形</x:v>
      </x:c>
      <x:c r="C19" s="7" t="str">
        <x:v>B09，可选B12／B13</x:v>
      </x:c>
      <x:c r="D19" s="7" t="str">
        <x:v>三招式、变形、雷霆、冰雹、龙爪咬尾、胜负</x:v>
      </x:c>
      <x:c r="E19" s="7" t="str">
        <x:v>跳过一形态时直接播对应战斗曲。</x:v>
      </x:c>
      <x:c r="F19" s="7" t="str">
        <x:v>样例正面战可复用，龙族内容未接。</x:v>
      </x:c>
      <x:c r="G19" s="7" t="str">
        <x:v>剧情大纲、战斗阶段设计阶段九</x:v>
      </x:c>
    </x:row>
    <x:row r="20" ht="65" customHeight="1">
      <x:c r="A20" s="3" t="str">
        <x:v>阶段十 窃法</x:v>
      </x:c>
      <x:c r="B20" s="3" t="str">
        <x:v>祠堂周边、秘藏与献祭卷轴</x:v>
      </x:c>
      <x:c r="C20" s="3" t="str">
        <x:v>B03／B04／B10</x:v>
      </x:c>
      <x:c r="D20" s="3" t="str">
        <x:v>门、钥匙、卷轴、关键发现</x:v>
      </x:c>
      <x:c r="E20" s="3" t="str">
        <x:v>秘藏区域可以用不安主题，卷轴真相切情绪曲。</x:v>
      </x:c>
      <x:c r="F20" s="3" t="str">
        <x:v>目标设计。</x:v>
      </x:c>
      <x:c r="G20" s="3" t="str">
        <x:v>剧情大纲阶段十</x:v>
      </x:c>
    </x:row>
    <x:row r="21" ht="65" customHeight="1">
      <x:c r="A21" s="7" t="str">
        <x:v>阶段十一 失人</x:v>
      </x:c>
      <x:c r="B21" s="7" t="str">
        <x:v>妖界寻妻，赵十四与官府核实转世</x:v>
      </x:c>
      <x:c r="C21" s="7" t="str">
        <x:v>B02／B10</x:v>
      </x:c>
      <x:c r="D21" s="7" t="str">
        <x:v>文书、关键发现</x:v>
      </x:c>
      <x:c r="E21" s="7" t="str">
        <x:v>赈粮册重复名字的最终揭示用情绪主题。</x:v>
      </x:c>
      <x:c r="F21" s="7" t="str">
        <x:v>目标设计。</x:v>
      </x:c>
      <x:c r="G21" s="7" t="str">
        <x:v>剧情大纲阶段十一</x:v>
      </x:c>
    </x:row>
    <x:row r="22" ht="65" customHeight="1">
      <x:c r="A22" s="3" t="str">
        <x:v>阶段十二 结案</x:v>
      </x:c>
      <x:c r="B22" s="3" t="str">
        <x:v>官府交付、井底收押</x:v>
      </x:c>
      <x:c r="C22" s="3" t="str">
        <x:v>B02，收束B01</x:v>
      </x:c>
      <x:c r="D22" s="3" t="str">
        <x:v>交付、门锁、阶段收束短乐句</x:v>
      </x:c>
      <x:c r="E22" s="3" t="str">
        <x:v>结案复用主题。井底是否实际表现决定A07。</x:v>
      </x:c>
      <x:c r="F22" s="3" t="str">
        <x:v>目标设计，没有额外多结局配乐依据。</x:v>
      </x:c>
      <x:c r="G22" s="3" t="str">
        <x:v>剧情大纲阶段十二</x:v>
      </x:c>
    </x:row>
    <x:row r="23" ht="65" customHeight="1">
      <x:c r="A23" s="7" t="str">
        <x:v>普通对白</x:v>
      </x:c>
      <x:c r="B23" s="7" t="str">
        <x:v>任意NPC对白、选项、历史</x:v>
      </x:c>
      <x:c r="C23" s="7" t="str">
        <x:v>保持地区曲；重要演出可B10</x:v>
      </x:c>
      <x:c r="D23" s="7" t="str">
        <x:v>确认、取消，按实际需要的交互声</x:v>
      </x:c>
      <x:c r="E23" s="7" t="str">
        <x:v>背景降低但不重启；不能覆盖突然进入的战斗状态。</x:v>
      </x:c>
      <x:c r="F23" s="7" t="str">
        <x:v>对白已接，声音路由待补。</x:v>
      </x:c>
      <x:c r="G23" s="7" t="str">
        <x:v>Dialogue能力、声音使用建议</x:v>
      </x:c>
    </x:row>
    <x:row r="24" ht="65" customHeight="1">
      <x:c r="A24" s="3" t="str">
        <x:v>任务背包与设置</x:v>
      </x:c>
      <x:c r="B24" s="3" t="str">
        <x:v>任务、库存、保存、暂停、设置</x:v>
      </x:c>
      <x:c r="C24" s="3" t="str">
        <x:v>保持当前BGM</x:v>
      </x:c>
      <x:c r="D24" s="3" t="str">
        <x:v>UI事件</x:v>
      </x:c>
      <x:c r="E24" s="3" t="str">
        <x:v>不为每个面板新增一首。关闭后不从头重播。</x:v>
      </x:c>
      <x:c r="F24" s="3" t="str">
        <x:v>面板已有，普通音效调用需接。</x:v>
      </x:c>
      <x:c r="G24" s="3" t="str">
        <x:v>系统能力、声音使用建议</x:v>
      </x:c>
    </x:row>
    <x:row r="25" ht="65" customHeight="1">
      <x:c r="A25" s="7" t="str">
        <x:v>警戒与潜行</x:v>
      </x:c>
      <x:c r="B25" s="7" t="str">
        <x:v>各战斗关被注意、警戒上升</x:v>
      </x:c>
      <x:c r="C25" s="7" t="str">
        <x:v>B04</x:v>
      </x:c>
      <x:c r="D25" s="7" t="str">
        <x:v>开始被注意、进入敌对</x:v>
      </x:c>
      <x:c r="E25" s="7" t="str">
        <x:v>风险解除后回所在区域；提示音限频。</x:v>
      </x:c>
      <x:c r="F25" s="7" t="str">
        <x:v>警戒已有，遮挡与声音需接。</x:v>
      </x:c>
      <x:c r="G25" s="7" t="str">
        <x:v>怪物状态与交互设计</x:v>
      </x:c>
    </x:row>
    <x:row r="26" ht="65" customHeight="1">
      <x:c r="A26" s="3" t="str">
        <x:v>追逐与失败</x:v>
      </x:c>
      <x:c r="B26" s="3" t="str">
        <x:v>身份暴露、抢篮子、揭露等追逐</x:v>
      </x:c>
      <x:c r="C26" s="3" t="str">
        <x:v>B08；失败J02</x:v>
      </x:c>
      <x:c r="D26" s="3" t="str">
        <x:v>敌对警报、逃脱、击倒</x:v>
      </x:c>
      <x:c r="E26" s="3" t="str">
        <x:v>确认追逐结束才恢复地区曲。失败不得遗留追逐loop。</x:v>
      </x:c>
      <x:c r="F26" s="3" t="str">
        <x:v>通用追击已有，专属触发与后果未统一。</x:v>
      </x:c>
      <x:c r="G26" s="3" t="str">
        <x:v>战斗阶段设计、怪物状态</x:v>
      </x:c>
    </x:row>
    <x:row r="27" ht="65" customHeight="1">
      <x:c r="A27" s="7" t="str">
        <x:v>演出与剧情转折</x:v>
      </x:c>
      <x:c r="B27" s="7" t="str">
        <x:v>开场、收束、真相、寻妻</x:v>
      </x:c>
      <x:c r="C27" s="7" t="str">
        <x:v>地区曲或B10</x:v>
      </x:c>
      <x:c r="D27" s="7" t="str">
        <x:v>事件音效、关键发现、阶段收束</x:v>
      </x:c>
      <x:c r="E27" s="7" t="str">
        <x:v>按具体演出选择，不按演出条数逐条新作曲。</x:v>
      </x:c>
      <x:c r="F27" s="7" t="str">
        <x:v>演出管线已有，正式时间轴待内容。</x:v>
      </x:c>
      <x:c r="G27" s="7" t="str">
        <x:v>Performance能力、剧情大纲</x:v>
      </x:c>
    </x:row>
    <x:row r="28" ht="65" customHeight="1">
      <x:c r="A28" s="3" t="str">
        <x:v>白盒首圈</x:v>
      </x:c>
      <x:c r="B28" s="3" t="str">
        <x:v>客栈、街面、戏班、衣肆、金银行、酒肆、交付</x:v>
      </x:c>
      <x:c r="C28" s="3" t="str">
        <x:v>B01／B03／B04／B08／B09</x:v>
      </x:c>
      <x:c r="D28" s="3" t="str">
        <x:v>素材表首圈列标是的35类音效及4短乐句</x:v>
      </x:c>
      <x:c r="E28" s="3" t="str">
        <x:v>关卡内不用上层、人间、打造、迷宫的新音频。</x:v>
      </x:c>
      <x:c r="F28" s="3" t="str">
        <x:v>本次方案，尚未按图实现。</x:v>
      </x:c>
      <x:c r="G28" s="3" t="str">
        <x:v>坊市原图、首圈流程建议</x:v>
      </x:c>
    </x:row>
    <x:row r="29" ht="65" customHeight="1">
      <x:c r="A29" s="7" t="str">
        <x:v>独立音游</x:v>
      </x:c>
      <x:c r="B29" s="7" t="str">
        <x:v>三曲DFJK测试、校准、成绩、暂停</x:v>
      </x:c>
      <x:c r="C29" s="7" t="str">
        <x:v>已有三首歌曲，不计新BGM数量</x:v>
      </x:c>
      <x:c r="D29" s="7" t="str">
        <x:v>UI可复用，玩法反馈是否新增待定</x:v>
      </x:c>
      <x:c r="E29" s="7" t="str">
        <x:v>演奏暂停原BGM，释放后按原请求有效性恢复。</x:v>
      </x:c>
      <x:c r="F29" s="7" t="str">
        <x:v>独立试玩已有，戏班正式整合未接。</x:v>
      </x:c>
      <x:c r="G29" s="7" t="str">
        <x:v>Rhythm当前范围</x:v>
      </x:c>
    </x:row>
    <x:row r="30" ht="65" customHeight="1">
      <x:c r="A30" s="3" t="str">
        <x:v>表情研究与旧镜子</x:v>
      </x:c>
      <x:c r="B30" s="3" t="str">
        <x:v>独立Laila研究、旧Mirror原型</x:v>
      </x:c>
      <x:c r="C30" s="3" t="str">
        <x:v>不追加主线BGM报价</x:v>
      </x:c>
      <x:c r="D30" s="3" t="str">
        <x:v>暂不计额外专属音效</x:v>
      </x:c>
      <x:c r="E30" s="3" t="str">
        <x:v>阶段九镜照仅按新设计事件计。</x:v>
      </x:c>
      <x:c r="F30" s="3" t="str">
        <x:v>研究独立、旧Mirror冻结。</x:v>
      </x:c>
      <x:c r="G30" s="3" t="str">
        <x:v>当前版本范围</x:v>
      </x:c>
    </x:row>
  </x:sheetData>
  <x:pageMargins left="0.7" right="0.7" top="0.75" bottom="0.75" header="0.3" footer="0.3"/>
  <x:tableParts count="1">
    <x:tablePart xmlns:r="http://schemas.openxmlformats.org/officeDocument/2006/relationships" r:id="Re0c7a51821f947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12" hidden="0" customWidth="1"/>
    <x:col min="3" max="3" width="19" hidden="0" customWidth="1"/>
    <x:col min="4" max="4" width="27" hidden="0" customWidth="1"/>
    <x:col min="5" max="5" width="29" hidden="0" customWidth="1"/>
    <x:col min="6" max="6" width="31" hidden="0" customWidth="1"/>
    <x:col min="7" max="7" width="13" hidden="0" customWidth="1"/>
    <x:col min="8" max="8" width="13" hidden="0" customWidth="1"/>
    <x:col min="9" max="9" width="8" hidden="0" customWidth="1"/>
    <x:col min="10" max="10" width="12" hidden="0" customWidth="1"/>
    <x:col min="11" max="11" width="43" hidden="0" customWidth="1"/>
  </x:cols>
  <x:sheetData>
    <x:row r="2">
      <x:c r="A2" s="8" t="str">
        <x:v>素材用途清单</x:v>
      </x:c>
      <x:c r="C2" s="9" t="str">
        <x:v>建议分组，可由音乐调整变体与复用。动作来自策划，声音表现为本次建议。</x:v>
      </x:c>
      <x:c r="D2" s="9"/>
      <x:c r="E2" s="9"/>
      <x:c r="F2" s="9"/>
      <x:c r="G2" s="9"/>
      <x:c r="H2" s="9"/>
      <x:c r="I2" s="9"/>
      <x:c r="J2" s="9"/>
      <x:c r="K2" s="9"/>
    </x:row>
    <x:row r="4" ht="34" customHeight="1">
      <x:c r="A4" s="6" t="str">
        <x:v>编号</x:v>
      </x:c>
      <x:c r="B4" s="6" t="str">
        <x:v>类别</x:v>
      </x:c>
      <x:c r="C4" s="6" t="str">
        <x:v>用途</x:v>
      </x:c>
      <x:c r="D4" s="6" t="str">
        <x:v>关联流程</x:v>
      </x:c>
      <x:c r="E4" s="6" t="str">
        <x:v>开始条件</x:v>
      </x:c>
      <x:c r="F4" s="6" t="str">
        <x:v>结束与复用</x:v>
      </x:c>
      <x:c r="G4" s="6" t="str">
        <x:v>制作范围</x:v>
      </x:c>
      <x:c r="H4" s="6" t="str">
        <x:v>建议文件数</x:v>
      </x:c>
      <x:c r="I4" s="6" t="str">
        <x:v>首圈</x:v>
      </x:c>
      <x:c r="J4" s="6" t="str">
        <x:v>制作确认</x:v>
      </x:c>
      <x:c r="K4" s="6" t="str">
        <x:v>声音说明</x:v>
      </x:c>
    </x:row>
    <x:row r="5" ht="65" customHeight="1">
      <x:c r="A5" s="7" t="str">
        <x:v>B01</x:v>
      </x:c>
      <x:c r="B5" s="7" t="str">
        <x:v>BGM</x:v>
      </x:c>
      <x:c r="C5" s="7" t="str">
        <x:v>标题与结案主题</x:v>
      </x:c>
      <x:c r="D5" s="7" t="str">
        <x:v>标题、序章准备、阶段十二</x:v>
      </x:c>
      <x:c r="E5" s="7" t="str">
        <x:v>进入标题或结案收束</x:v>
      </x:c>
      <x:c r="F5" s="7" t="str">
        <x:v>开始探索时切地区曲。结案复用主题，不新增一首。</x:v>
      </x:c>
      <x:c r="G5" s="7" t="str">
        <x:v>基础</x:v>
      </x:c>
      <x:c r="H5" s="14" t="n">
        <x:v>1</x:v>
      </x:c>
      <x:c r="I5" s="15" t="str">
        <x:v>是</x:v>
      </x:c>
      <x:c r="J5" s="15" t="str">
        <x:v>待确认</x:v>
      </x:c>
      <x:c r="K5" s="7" t="str">
        <x:v>已有标题候选文件，待试听后决定沿用或替换。 需要可无缝循环的完整混音。</x:v>
      </x:c>
    </x:row>
    <x:row r="6" ht="65" customHeight="1">
      <x:c r="A6" s="3" t="str">
        <x:v>B02</x:v>
      </x:c>
      <x:c r="B6" s="3" t="str">
        <x:v>BGM</x:v>
      </x:c>
      <x:c r="C6" s="3" t="str">
        <x:v>人间调查</x:v>
      </x:c>
      <x:c r="D6" s="3" t="str">
        <x:v>阶段二、四、五、七、八、十一、十二</x:v>
      </x:c>
      <x:c r="E6" s="3" t="str">
        <x:v>在人间街面、官府或乡间调查</x:v>
      </x:c>
      <x:c r="F6" s="3" t="str">
        <x:v>进入妖界、追逐、战斗或关键演出时让位。</x:v>
      </x:c>
      <x:c r="G6" s="3" t="str">
        <x:v>基础</x:v>
      </x:c>
      <x:c r="H6" s="14" t="n">
        <x:v>1</x:v>
      </x:c>
      <x:c r="I6" s="15" t="str">
        <x:v>否</x:v>
      </x:c>
      <x:c r="J6" s="15" t="str">
        <x:v>待确认</x:v>
      </x:c>
      <x:c r="K6" s="3" t="str">
        <x:v>日常调查克制留白，多个地点共用。 需要可无缝循环的完整混音。</x:v>
      </x:c>
    </x:row>
    <x:row r="7" ht="65" customHeight="1">
      <x:c r="A7" s="7" t="str">
        <x:v>B03</x:v>
      </x:c>
      <x:c r="B7" s="7" t="str">
        <x:v>BGM</x:v>
      </x:c>
      <x:c r="C7" s="7" t="str">
        <x:v>妖界坊市探索</x:v>
      </x:c>
      <x:c r="D7" s="7" t="str">
        <x:v>阶段一、二、八、十</x:v>
      </x:c>
      <x:c r="E7" s="7" t="str">
        <x:v>在坊市街面与轮回堂周边探索</x:v>
      </x:c>
      <x:c r="F7" s="7" t="str">
        <x:v>警戒、追逐、BOSS或特殊区域覆盖。</x:v>
      </x:c>
      <x:c r="G7" s="7" t="str">
        <x:v>基础</x:v>
      </x:c>
      <x:c r="H7" s="14" t="n">
        <x:v>1</x:v>
      </x:c>
      <x:c r="I7" s="15" t="str">
        <x:v>是</x:v>
      </x:c>
      <x:c r="J7" s="15" t="str">
        <x:v>待确认</x:v>
      </x:c>
      <x:c r="K7" s="7" t="str">
        <x:v>戏班、衣肆、金银行、客栈、酒肆门前共用。 需要可无缝循环的完整混音。</x:v>
      </x:c>
    </x:row>
    <x:row r="8" ht="65" customHeight="1">
      <x:c r="A8" s="3" t="str">
        <x:v>B04</x:v>
      </x:c>
      <x:c r="B8" s="3" t="str">
        <x:v>BGM</x:v>
      </x:c>
      <x:c r="C8" s="3" t="str">
        <x:v>潜行与不安</x:v>
      </x:c>
      <x:c r="D8" s="3" t="str">
        <x:v>阶段三、各战斗关警戒</x:v>
      </x:c>
      <x:c r="E8" s="3" t="str">
        <x:v>水灾区域潜行，或警戒升级</x:v>
      </x:c>
      <x:c r="F8" s="3" t="str">
        <x:v>摆脱风险后恢复地区曲。</x:v>
      </x:c>
      <x:c r="G8" s="3" t="str">
        <x:v>基础</x:v>
      </x:c>
      <x:c r="H8" s="14" t="n">
        <x:v>1</x:v>
      </x:c>
      <x:c r="I8" s="15" t="str">
        <x:v>是</x:v>
      </x:c>
      <x:c r="J8" s="15" t="str">
        <x:v>待确认</x:v>
      </x:c>
      <x:c r="K8" s="3" t="str">
        <x:v>水灾潜行与通用警戒合用一首，以环境声区分地点。 需要可无缝循环的完整混音。</x:v>
      </x:c>
    </x:row>
    <x:row r="9" ht="65" customHeight="1">
      <x:c r="A9" s="7" t="str">
        <x:v>B05</x:v>
      </x:c>
      <x:c r="B9" s="7" t="str">
        <x:v>BGM</x:v>
      </x:c>
      <x:c r="C9" s="7" t="str">
        <x:v>分福祠真实视角</x:v>
      </x:c>
      <x:c r="D9" s="7" t="str">
        <x:v>阶段六</x:v>
      </x:c>
      <x:c r="E9" s="7" t="str">
        <x:v>本体看到恐怖仪式</x:v>
      </x:c>
      <x:c r="F9" s="7" t="str">
        <x:v>附身信众后切B06，离开后恢复地区曲。</x:v>
      </x:c>
      <x:c r="G9" s="7" t="str">
        <x:v>基础</x:v>
      </x:c>
      <x:c r="H9" s="14" t="n">
        <x:v>1</x:v>
      </x:c>
      <x:c r="I9" s="15" t="str">
        <x:v>否</x:v>
      </x:c>
      <x:c r="J9" s="15" t="str">
        <x:v>待确认</x:v>
      </x:c>
      <x:c r="K9" s="7" t="str">
        <x:v>与B06共享动机，质感压抑、异样。 需要可无缝循环的完整混音。</x:v>
      </x:c>
    </x:row>
    <x:row r="10" ht="65" customHeight="1">
      <x:c r="A10" s="3" t="str">
        <x:v>B06</x:v>
      </x:c>
      <x:c r="B10" s="3" t="str">
        <x:v>BGM</x:v>
      </x:c>
      <x:c r="C10" s="3" t="str">
        <x:v>分福祠信众视角</x:v>
      </x:c>
      <x:c r="D10" s="3" t="str">
        <x:v>阶段六</x:v>
      </x:c>
      <x:c r="E10" s="3" t="str">
        <x:v>附身信众后看到祥和仪式</x:v>
      </x:c>
      <x:c r="F10" s="3" t="str">
        <x:v>退出信众身份后回B05。</x:v>
      </x:c>
      <x:c r="G10" s="3" t="str">
        <x:v>基础</x:v>
      </x:c>
      <x:c r="H10" s="14" t="n">
        <x:v>1</x:v>
      </x:c>
      <x:c r="I10" s="15" t="str">
        <x:v>否</x:v>
      </x:c>
      <x:c r="J10" s="15" t="str">
        <x:v>待确认</x:v>
      </x:c>
      <x:c r="K10" s="3" t="str">
        <x:v>同主题的祥和版，单独交付完整可播放文件。 需要可无缝循环的完整混音。</x:v>
      </x:c>
    </x:row>
    <x:row r="11" ht="65" customHeight="1">
      <x:c r="A11" s="7" t="str">
        <x:v>B07</x:v>
      </x:c>
      <x:c r="B11" s="7" t="str">
        <x:v>BGM</x:v>
      </x:c>
      <x:c r="C11" s="7" t="str">
        <x:v>龙窟迷宫</x:v>
      </x:c>
      <x:c r="D11" s="7" t="str">
        <x:v>阶段九</x:v>
      </x:c>
      <x:c r="E11" s="7" t="str">
        <x:v>进入洞庭府、镜子迷宫或幻象房</x:v>
      </x:c>
      <x:c r="F11" s="7" t="str">
        <x:v>追逐与战斗覆盖，结束后回此曲。</x:v>
      </x:c>
      <x:c r="G11" s="7" t="str">
        <x:v>基础</x:v>
      </x:c>
      <x:c r="H11" s="14" t="n">
        <x:v>1</x:v>
      </x:c>
      <x:c r="I11" s="15" t="str">
        <x:v>否</x:v>
      </x:c>
      <x:c r="J11" s="15" t="str">
        <x:v>待确认</x:v>
      </x:c>
      <x:c r="K11" s="7" t="str">
        <x:v>陌生、空间感和龙族压迫感，不给每间房单独写曲。 需要可无缝循环的完整混音。</x:v>
      </x:c>
    </x:row>
    <x:row r="12" ht="65" customHeight="1">
      <x:c r="A12" s="3" t="str">
        <x:v>B08</x:v>
      </x:c>
      <x:c r="B12" s="3" t="str">
        <x:v>BGM</x:v>
      </x:c>
      <x:c r="C12" s="3" t="str">
        <x:v>追逐</x:v>
      </x:c>
      <x:c r="D12" s="3" t="str">
        <x:v>阶段三、六、九及通用追击</x:v>
      </x:c>
      <x:c r="E12" s="3" t="str">
        <x:v>真正开始追逐</x:v>
      </x:c>
      <x:c r="F12" s="3" t="str">
        <x:v>明确逃脱、被抓或开战后停止。</x:v>
      </x:c>
      <x:c r="G12" s="3" t="str">
        <x:v>基础</x:v>
      </x:c>
      <x:c r="H12" s="14" t="n">
        <x:v>1</x:v>
      </x:c>
      <x:c r="I12" s="15" t="str">
        <x:v>是</x:v>
      </x:c>
      <x:c r="J12" s="15" t="str">
        <x:v>待确认</x:v>
      </x:c>
      <x:c r="K12" s="3" t="str">
        <x:v>各关共用，进入时迅速建立紧迫感。 需要可无缝循环的完整混音。</x:v>
      </x:c>
    </x:row>
    <x:row r="13" ht="65" customHeight="1">
      <x:c r="A13" s="7" t="str">
        <x:v>B09</x:v>
      </x:c>
      <x:c r="B13" s="7" t="str">
        <x:v>BGM</x:v>
      </x:c>
      <x:c r="C13" s="7" t="str">
        <x:v>通用BOSS战</x:v>
      </x:c>
      <x:c r="D13" s="7" t="str">
        <x:v>序章、阶段一、六、九</x:v>
      </x:c>
      <x:c r="E13" s="7" t="str">
        <x:v>BOSS战舞台开始</x:v>
      </x:c>
      <x:c r="F13" s="7" t="str">
        <x:v>胜利或失败后停止，播放短乐句并回地区曲。</x:v>
      </x:c>
      <x:c r="G13" s="7" t="str">
        <x:v>基础</x:v>
      </x:c>
      <x:c r="H13" s="14" t="n">
        <x:v>1</x:v>
      </x:c>
      <x:c r="I13" s="15" t="str">
        <x:v>是</x:v>
      </x:c>
      <x:c r="J13" s="15" t="str">
        <x:v>待确认</x:v>
      </x:c>
      <x:c r="K13" s="7" t="str">
        <x:v>首期共享战斗曲。专属BOSS主题可另行扩展。 需要可无缝循环的完整混音。</x:v>
      </x:c>
    </x:row>
    <x:row r="14" ht="65" customHeight="1">
      <x:c r="A14" s="3" t="str">
        <x:v>B10</x:v>
      </x:c>
      <x:c r="B14" s="3" t="str">
        <x:v>BGM</x:v>
      </x:c>
      <x:c r="C14" s="3" t="str">
        <x:v>关键真相与寻妻情绪</x:v>
      </x:c>
      <x:c r="D14" s="3" t="str">
        <x:v>阶段五、七、九、十、十一的关键演出</x:v>
      </x:c>
      <x:c r="E14" s="3" t="str">
        <x:v>确认关键真相或情感转折</x:v>
      </x:c>
      <x:c r="F14" s="3" t="str">
        <x:v>演出结束或恢复操作后回地区曲。</x:v>
      </x:c>
      <x:c r="G14" s="3" t="str">
        <x:v>基础</x:v>
      </x:c>
      <x:c r="H14" s="14" t="n">
        <x:v>1</x:v>
      </x:c>
      <x:c r="I14" s="15" t="str">
        <x:v>否</x:v>
      </x:c>
      <x:c r="J14" s="15" t="str">
        <x:v>待确认</x:v>
      </x:c>
      <x:c r="K14" s="3" t="str">
        <x:v>具体起止点随演出确定，暂不逐段写独立配乐。 需要可无缝循环的完整混音。</x:v>
      </x:c>
    </x:row>
    <x:row r="15" ht="65" customHeight="1">
      <x:c r="A15" s="7" t="str">
        <x:v>B11</x:v>
      </x:c>
      <x:c r="B15" s="7" t="str">
        <x:v>BGM</x:v>
      </x:c>
      <x:c r="C15" s="7" t="str">
        <x:v>分福祠专属战斗</x:v>
      </x:c>
      <x:c r="D15" s="7" t="str">
        <x:v>阶段六两形态BOSS</x:v>
      </x:c>
      <x:c r="E15" s="7" t="str">
        <x:v>进入食教者或分福身战斗</x:v>
      </x:c>
      <x:c r="F15" s="7" t="str">
        <x:v>替代B09，仅在对应战斗使用。</x:v>
      </x:c>
      <x:c r="G15" s="7" t="str">
        <x:v>扩展</x:v>
      </x:c>
      <x:c r="H15" s="14" t="n">
        <x:v>1</x:v>
      </x:c>
      <x:c r="I15" s="15" t="str">
        <x:v>否</x:v>
      </x:c>
      <x:c r="J15" s="15" t="str">
        <x:v>待确认</x:v>
      </x:c>
      <x:c r="K15" s="7" t="str">
        <x:v>可选独立主题，两形态的加强版是否另交先确认。</x:v>
      </x:c>
    </x:row>
    <x:row r="16" ht="65" customHeight="1">
      <x:c r="A16" s="3" t="str">
        <x:v>B12</x:v>
      </x:c>
      <x:c r="B16" s="3" t="str">
        <x:v>BGM</x:v>
      </x:c>
      <x:c r="C16" s="3" t="str">
        <x:v>钱塘君人形战</x:v>
      </x:c>
      <x:c r="D16" s="3" t="str">
        <x:v>阶段九</x:v>
      </x:c>
      <x:c r="E16" s="3" t="str">
        <x:v>钱塘君人形战斗开始</x:v>
      </x:c>
      <x:c r="F16" s="3" t="str">
        <x:v>变形时切B13或继续通用战斗曲。</x:v>
      </x:c>
      <x:c r="G16" s="3" t="str">
        <x:v>扩展</x:v>
      </x:c>
      <x:c r="H16" s="14" t="n">
        <x:v>1</x:v>
      </x:c>
      <x:c r="I16" s="15" t="str">
        <x:v>否</x:v>
      </x:c>
      <x:c r="J16" s="15" t="str">
        <x:v>待确认</x:v>
      </x:c>
      <x:c r="K16" s="3" t="str">
        <x:v>可选，替代B09，不与它叠播。</x:v>
      </x:c>
    </x:row>
    <x:row r="17" ht="65" customHeight="1">
      <x:c r="A17" s="7" t="str">
        <x:v>B13</x:v>
      </x:c>
      <x:c r="B17" s="7" t="str">
        <x:v>BGM</x:v>
      </x:c>
      <x:c r="C17" s="7" t="str">
        <x:v>钱塘君龙形战</x:v>
      </x:c>
      <x:c r="D17" s="7" t="str">
        <x:v>阶段九</x:v>
      </x:c>
      <x:c r="E17" s="7" t="str">
        <x:v>变为龙形或跳过第一形态</x:v>
      </x:c>
      <x:c r="F17" s="7" t="str">
        <x:v>战斗结束后回龙窟或关键演出音乐。</x:v>
      </x:c>
      <x:c r="G17" s="7" t="str">
        <x:v>扩展</x:v>
      </x:c>
      <x:c r="H17" s="14" t="n">
        <x:v>1</x:v>
      </x:c>
      <x:c r="I17" s="15" t="str">
        <x:v>否</x:v>
      </x:c>
      <x:c r="J17" s="15" t="str">
        <x:v>待确认</x:v>
      </x:c>
      <x:c r="K17" s="7" t="str">
        <x:v>可选，需与B12衔接。独立曲还是加强版由音乐确认。</x:v>
      </x:c>
    </x:row>
    <x:row r="18" ht="65" customHeight="1">
      <x:c r="A18" s="3" t="str">
        <x:v>A01</x:v>
      </x:c>
      <x:c r="B18" s="3" t="str">
        <x:v>环境循环</x:v>
      </x:c>
      <x:c r="C18" s="3" t="str">
        <x:v>人间街面环境</x:v>
      </x:c>
      <x:c r="D18" s="3" t="str">
        <x:v>人间多个调查阶段</x:v>
      </x:c>
      <x:c r="E18" s="3" t="str">
        <x:v>进入人间街面</x:v>
      </x:c>
      <x:c r="F18" s="3" t="str">
        <x:v>换场景停止。</x:v>
      </x:c>
      <x:c r="G18" s="3" t="str">
        <x:v>基础</x:v>
      </x:c>
      <x:c r="H18" s="14" t="n">
        <x:v>1</x:v>
      </x:c>
      <x:c r="I18" s="15" t="str">
        <x:v>否</x:v>
      </x:c>
      <x:c r="J18" s="15" t="str">
        <x:v>待确认</x:v>
      </x:c>
      <x:c r="K18" s="3" t="str">
        <x:v>轻人声、风与生活远景，官府门口可使用较稀疏版本。 循环素材需独立播放与停止控制。</x:v>
      </x:c>
    </x:row>
    <x:row r="19" ht="65" customHeight="1">
      <x:c r="A19" s="7" t="str">
        <x:v>A02</x:v>
      </x:c>
      <x:c r="B19" s="7" t="str">
        <x:v>环境循环</x:v>
      </x:c>
      <x:c r="C19" s="7" t="str">
        <x:v>妖界坊市环境</x:v>
      </x:c>
      <x:c r="D19" s="7" t="str">
        <x:v>阶段一、二、八、十</x:v>
      </x:c>
      <x:c r="E19" s="7" t="str">
        <x:v>进入妖界坊市街面</x:v>
      </x:c>
      <x:c r="F19" s="7" t="str">
        <x:v>换场景停止。</x:v>
      </x:c>
      <x:c r="G19" s="7" t="str">
        <x:v>基础</x:v>
      </x:c>
      <x:c r="H19" s="14" t="n">
        <x:v>1</x:v>
      </x:c>
      <x:c r="I19" s="15" t="str">
        <x:v>是</x:v>
      </x:c>
      <x:c r="J19" s="15" t="str">
        <x:v>待确认</x:v>
      </x:c>
      <x:c r="K19" s="7" t="str">
        <x:v>集市远景与异样空间感，不盖过交互提示。 循环素材需独立播放与停止控制。</x:v>
      </x:c>
    </x:row>
    <x:row r="20" ht="65" customHeight="1">
      <x:c r="A20" s="3" t="str">
        <x:v>A03</x:v>
      </x:c>
      <x:c r="B20" s="3" t="str">
        <x:v>环境循环</x:v>
      </x:c>
      <x:c r="C20" s="3" t="str">
        <x:v>水灾与废弃官署环境</x:v>
      </x:c>
      <x:c r="D20" s="3" t="str">
        <x:v>阶段三</x:v>
      </x:c>
      <x:c r="E20" s="3" t="str">
        <x:v>进入水口、里巷、决堤、废弃官署</x:v>
      </x:c>
      <x:c r="F20" s="3" t="str">
        <x:v>离开区域停止。</x:v>
      </x:c>
      <x:c r="G20" s="3" t="str">
        <x:v>基础</x:v>
      </x:c>
      <x:c r="H20" s="14" t="n">
        <x:v>1</x:v>
      </x:c>
      <x:c r="I20" s="15" t="str">
        <x:v>否</x:v>
      </x:c>
      <x:c r="J20" s="15" t="str">
        <x:v>待确认</x:v>
      </x:c>
      <x:c r="K20" s="3" t="str">
        <x:v>水与空旷建筑声，变化水位用独立短事件音效。 循环素材需独立播放与停止控制。</x:v>
      </x:c>
    </x:row>
    <x:row r="21" ht="65" customHeight="1">
      <x:c r="A21" s="7" t="str">
        <x:v>A04</x:v>
      </x:c>
      <x:c r="B21" s="7" t="str">
        <x:v>环境循环</x:v>
      </x:c>
      <x:c r="C21" s="7" t="str">
        <x:v>分福仪式真实环境</x:v>
      </x:c>
      <x:c r="D21" s="7" t="str">
        <x:v>阶段六本体视角</x:v>
      </x:c>
      <x:c r="E21" s="7" t="str">
        <x:v>进入仪式区</x:v>
      </x:c>
      <x:c r="F21" s="7" t="str">
        <x:v>切信众视角或离场停止。</x:v>
      </x:c>
      <x:c r="G21" s="7" t="str">
        <x:v>基础</x:v>
      </x:c>
      <x:c r="H21" s="14" t="n">
        <x:v>1</x:v>
      </x:c>
      <x:c r="I21" s="15" t="str">
        <x:v>否</x:v>
      </x:c>
      <x:c r="J21" s="15" t="str">
        <x:v>待确认</x:v>
      </x:c>
      <x:c r="K21" s="7" t="str">
        <x:v>队列与仪式远景，不默认加入逐字人声配音。 循环素材需独立播放与停止控制。</x:v>
      </x:c>
    </x:row>
    <x:row r="22" ht="65" customHeight="1">
      <x:c r="A22" s="3" t="str">
        <x:v>A05</x:v>
      </x:c>
      <x:c r="B22" s="3" t="str">
        <x:v>环境循环</x:v>
      </x:c>
      <x:c r="C22" s="3" t="str">
        <x:v>分福仪式祥和环境</x:v>
      </x:c>
      <x:c r="D22" s="3" t="str">
        <x:v>阶段六信众视角</x:v>
      </x:c>
      <x:c r="E22" s="3" t="str">
        <x:v>信众视角生效</x:v>
      </x:c>
      <x:c r="F22" s="3" t="str">
        <x:v>退出身份或离场停止。</x:v>
      </x:c>
      <x:c r="G22" s="3" t="str">
        <x:v>基础</x:v>
      </x:c>
      <x:c r="H22" s="14" t="n">
        <x:v>1</x:v>
      </x:c>
      <x:c r="I22" s="15" t="str">
        <x:v>否</x:v>
      </x:c>
      <x:c r="J22" s="15" t="str">
        <x:v>待确认</x:v>
      </x:c>
      <x:c r="K22" s="3" t="str">
        <x:v>与真实环境成对，可复用录音制作另一混音。 循环素材需独立播放与停止控制。</x:v>
      </x:c>
    </x:row>
    <x:row r="23" ht="65" customHeight="1">
      <x:c r="A23" s="7" t="str">
        <x:v>A06</x:v>
      </x:c>
      <x:c r="B23" s="7" t="str">
        <x:v>环境循环</x:v>
      </x:c>
      <x:c r="C23" s="7" t="str">
        <x:v>龙窟洞庭府环境</x:v>
      </x:c>
      <x:c r="D23" s="7" t="str">
        <x:v>阶段九</x:v>
      </x:c>
      <x:c r="E23" s="7" t="str">
        <x:v>进入龙窟或洞庭府</x:v>
      </x:c>
      <x:c r="F23" s="7" t="str">
        <x:v>离场停止。</x:v>
      </x:c>
      <x:c r="G23" s="7" t="str">
        <x:v>基础</x:v>
      </x:c>
      <x:c r="H23" s="14" t="n">
        <x:v>1</x:v>
      </x:c>
      <x:c r="I23" s="15" t="str">
        <x:v>否</x:v>
      </x:c>
      <x:c r="J23" s="15" t="str">
        <x:v>待确认</x:v>
      </x:c>
      <x:c r="K23" s="7" t="str">
        <x:v>洞窟、气流、水与房间反射。幻象音景是否替换待关卡定稿。 循环素材需独立播放与停止控制。</x:v>
      </x:c>
    </x:row>
    <x:row r="24" ht="65" customHeight="1">
      <x:c r="A24" s="3" t="str">
        <x:v>A07</x:v>
      </x:c>
      <x:c r="B24" s="3" t="str">
        <x:v>环境循环</x:v>
      </x:c>
      <x:c r="C24" s="3" t="str">
        <x:v>井底环境</x:v>
      </x:c>
      <x:c r="D24" s="3" t="str">
        <x:v>阶段十二井底</x:v>
      </x:c>
      <x:c r="E24" s="3" t="str">
        <x:v>进入井底表现段</x:v>
      </x:c>
      <x:c r="F24" s="3" t="str">
        <x:v>离开或结案完成停止。</x:v>
      </x:c>
      <x:c r="G24" s="3" t="str">
        <x:v>基础</x:v>
      </x:c>
      <x:c r="H24" s="14" t="n">
        <x:v>1</x:v>
      </x:c>
      <x:c r="I24" s="15" t="str">
        <x:v>否</x:v>
      </x:c>
      <x:c r="J24" s="15" t="str">
        <x:v>待确认</x:v>
      </x:c>
      <x:c r="K24" s="3" t="str">
        <x:v>滴水与封闭空间。若井底只用文字交代，可取消此项。 循环素材需独立播放与停止控制。</x:v>
      </x:c>
    </x:row>
    <x:row r="25" ht="65" customHeight="1">
      <x:c r="A25" s="7" t="str">
        <x:v>S01</x:v>
      </x:c>
      <x:c r="B25" s="7" t="str">
        <x:v>音效</x:v>
      </x:c>
      <x:c r="C25" s="7" t="str">
        <x:v>UI导航</x:v>
      </x:c>
      <x:c r="D25" s="7" t="str">
        <x:v>标题、设置、任务、背包</x:v>
      </x:c>
      <x:c r="E25" s="7" t="str">
        <x:v>选中项真正变化</x:v>
      </x:c>
      <x:c r="F25" s="7" t="str">
        <x:v>事件结束即结束。重复动作需变体或限频。</x:v>
      </x:c>
      <x:c r="G25" s="7" t="str">
        <x:v>通用</x:v>
      </x:c>
      <x:c r="H25" s="14" t="n">
        <x:v>1</x:v>
      </x:c>
      <x:c r="I25" s="15" t="str">
        <x:v>是</x:v>
      </x:c>
      <x:c r="J25" s="15" t="str">
        <x:v>待确认</x:v>
      </x:c>
      <x:c r="K25" s="7" t="str">
        <x:v>声音表现为本次建议，动作来自对应流程。</x:v>
      </x:c>
    </x:row>
    <x:row r="26" ht="65" customHeight="1">
      <x:c r="A26" s="3" t="str">
        <x:v>S02</x:v>
      </x:c>
      <x:c r="B26" s="3" t="str">
        <x:v>音效</x:v>
      </x:c>
      <x:c r="C26" s="3" t="str">
        <x:v>UI确认</x:v>
      </x:c>
      <x:c r="D26" s="3" t="str">
        <x:v>所有界面</x:v>
      </x:c>
      <x:c r="E26" s="3" t="str">
        <x:v>成功确认或提交</x:v>
      </x:c>
      <x:c r="F26" s="3" t="str">
        <x:v>事件结束即结束。重复动作需变体或限频。</x:v>
      </x:c>
      <x:c r="G26" s="3" t="str">
        <x:v>通用</x:v>
      </x:c>
      <x:c r="H26" s="14" t="n">
        <x:v>1</x:v>
      </x:c>
      <x:c r="I26" s="15" t="str">
        <x:v>是</x:v>
      </x:c>
      <x:c r="J26" s="15" t="str">
        <x:v>待确认</x:v>
      </x:c>
      <x:c r="K26" s="3" t="str">
        <x:v>声音表现为本次建议，动作来自对应流程。</x:v>
      </x:c>
    </x:row>
    <x:row r="27" ht="65" customHeight="1">
      <x:c r="A27" s="7" t="str">
        <x:v>S03</x:v>
      </x:c>
      <x:c r="B27" s="7" t="str">
        <x:v>音效</x:v>
      </x:c>
      <x:c r="C27" s="7" t="str">
        <x:v>UI取消</x:v>
      </x:c>
      <x:c r="D27" s="7" t="str">
        <x:v>所有界面</x:v>
      </x:c>
      <x:c r="E27" s="7" t="str">
        <x:v>返回或取消</x:v>
      </x:c>
      <x:c r="F27" s="7" t="str">
        <x:v>事件结束即结束。重复动作需变体或限频。</x:v>
      </x:c>
      <x:c r="G27" s="7" t="str">
        <x:v>通用</x:v>
      </x:c>
      <x:c r="H27" s="14" t="n">
        <x:v>1</x:v>
      </x:c>
      <x:c r="I27" s="15" t="str">
        <x:v>是</x:v>
      </x:c>
      <x:c r="J27" s="15" t="str">
        <x:v>待确认</x:v>
      </x:c>
      <x:c r="K27" s="7" t="str">
        <x:v>声音表现为本次建议，动作来自对应流程。</x:v>
      </x:c>
    </x:row>
    <x:row r="28" ht="65" customHeight="1">
      <x:c r="A28" s="3" t="str">
        <x:v>S04</x:v>
      </x:c>
      <x:c r="B28" s="3" t="str">
        <x:v>音效</x:v>
      </x:c>
      <x:c r="C28" s="3" t="str">
        <x:v>面板打开</x:v>
      </x:c>
      <x:c r="D28" s="3" t="str">
        <x:v>任务、背包、设置</x:v>
      </x:c>
      <x:c r="E28" s="3" t="str">
        <x:v>面板打开完成</x:v>
      </x:c>
      <x:c r="F28" s="3" t="str">
        <x:v>事件结束即结束。重复动作需变体或限频。</x:v>
      </x:c>
      <x:c r="G28" s="3" t="str">
        <x:v>通用</x:v>
      </x:c>
      <x:c r="H28" s="14" t="n">
        <x:v>1</x:v>
      </x:c>
      <x:c r="I28" s="15" t="str">
        <x:v>是</x:v>
      </x:c>
      <x:c r="J28" s="15" t="str">
        <x:v>待确认</x:v>
      </x:c>
      <x:c r="K28" s="3" t="str">
        <x:v>声音表现为本次建议，动作来自对应流程。</x:v>
      </x:c>
    </x:row>
    <x:row r="29" ht="65" customHeight="1">
      <x:c r="A29" s="7" t="str">
        <x:v>S05</x:v>
      </x:c>
      <x:c r="B29" s="7" t="str">
        <x:v>音效</x:v>
      </x:c>
      <x:c r="C29" s="7" t="str">
        <x:v>面板关闭</x:v>
      </x:c>
      <x:c r="D29" s="7" t="str">
        <x:v>任务、背包、设置</x:v>
      </x:c>
      <x:c r="E29" s="7" t="str">
        <x:v>面板关闭完成</x:v>
      </x:c>
      <x:c r="F29" s="7" t="str">
        <x:v>事件结束即结束。重复动作需变体或限频。</x:v>
      </x:c>
      <x:c r="G29" s="7" t="str">
        <x:v>通用</x:v>
      </x:c>
      <x:c r="H29" s="14" t="n">
        <x:v>1</x:v>
      </x:c>
      <x:c r="I29" s="15" t="str">
        <x:v>是</x:v>
      </x:c>
      <x:c r="J29" s="15" t="str">
        <x:v>待确认</x:v>
      </x:c>
      <x:c r="K29" s="7" t="str">
        <x:v>声音表现为本次建议，动作来自对应流程。</x:v>
      </x:c>
    </x:row>
    <x:row r="30" ht="65" customHeight="1">
      <x:c r="A30" s="3" t="str">
        <x:v>S06</x:v>
      </x:c>
      <x:c r="B30" s="3" t="str">
        <x:v>音效</x:v>
      </x:c>
      <x:c r="C30" s="3" t="str">
        <x:v>操作被拒</x:v>
      </x:c>
      <x:c r="D30" s="3" t="str">
        <x:v>身份核验、道具、界面</x:v>
      </x:c>
      <x:c r="E30" s="3" t="str">
        <x:v>操作不满足条件</x:v>
      </x:c>
      <x:c r="F30" s="3" t="str">
        <x:v>事件结束即结束。重复动作需变体或限频。</x:v>
      </x:c>
      <x:c r="G30" s="3" t="str">
        <x:v>通用</x:v>
      </x:c>
      <x:c r="H30" s="14" t="n">
        <x:v>1</x:v>
      </x:c>
      <x:c r="I30" s="15" t="str">
        <x:v>是</x:v>
      </x:c>
      <x:c r="J30" s="15" t="str">
        <x:v>待确认</x:v>
      </x:c>
      <x:c r="K30" s="3" t="str">
        <x:v>声音表现为本次建议，动作来自对应流程。</x:v>
      </x:c>
    </x:row>
    <x:row r="31" ht="65" customHeight="1">
      <x:c r="A31" s="7" t="str">
        <x:v>S07</x:v>
      </x:c>
      <x:c r="B31" s="7" t="str">
        <x:v>音效</x:v>
      </x:c>
      <x:c r="C31" s="7" t="str">
        <x:v>任务接取</x:v>
      </x:c>
      <x:c r="D31" s="7" t="str">
        <x:v>全流程</x:v>
      </x:c>
      <x:c r="E31" s="7" t="str">
        <x:v>新任务正式接取</x:v>
      </x:c>
      <x:c r="F31" s="7" t="str">
        <x:v>事件结束即结束。重复动作需变体或限频。</x:v>
      </x:c>
      <x:c r="G31" s="7" t="str">
        <x:v>通用</x:v>
      </x:c>
      <x:c r="H31" s="14" t="n">
        <x:v>1</x:v>
      </x:c>
      <x:c r="I31" s="15" t="str">
        <x:v>是</x:v>
      </x:c>
      <x:c r="J31" s="15" t="str">
        <x:v>待确认</x:v>
      </x:c>
      <x:c r="K31" s="7" t="str">
        <x:v>声音表现为本次建议，动作来自对应流程。</x:v>
      </x:c>
    </x:row>
    <x:row r="32" ht="65" customHeight="1">
      <x:c r="A32" s="3" t="str">
        <x:v>S08</x:v>
      </x:c>
      <x:c r="B32" s="3" t="str">
        <x:v>音效</x:v>
      </x:c>
      <x:c r="C32" s="3" t="str">
        <x:v>任务完成</x:v>
      </x:c>
      <x:c r="D32" s="3" t="str">
        <x:v>全流程</x:v>
      </x:c>
      <x:c r="E32" s="3" t="str">
        <x:v>任务完成</x:v>
      </x:c>
      <x:c r="F32" s="3" t="str">
        <x:v>事件结束即结束。重复动作需变体或限频。</x:v>
      </x:c>
      <x:c r="G32" s="3" t="str">
        <x:v>通用</x:v>
      </x:c>
      <x:c r="H32" s="14" t="n">
        <x:v>1</x:v>
      </x:c>
      <x:c r="I32" s="15" t="str">
        <x:v>是</x:v>
      </x:c>
      <x:c r="J32" s="15" t="str">
        <x:v>待确认</x:v>
      </x:c>
      <x:c r="K32" s="3" t="str">
        <x:v>声音表现为本次建议，动作来自对应流程。</x:v>
      </x:c>
    </x:row>
    <x:row r="33" ht="65" customHeight="1">
      <x:c r="A33" s="7" t="str">
        <x:v>S09</x:v>
      </x:c>
      <x:c r="B33" s="7" t="str">
        <x:v>音效</x:v>
      </x:c>
      <x:c r="C33" s="7" t="str">
        <x:v>石地脚步</x:v>
      </x:c>
      <x:c r="D33" s="7" t="str">
        <x:v>街面、潜行、追逐</x:v>
      </x:c>
      <x:c r="E33" s="7" t="str">
        <x:v>脚落地</x:v>
      </x:c>
      <x:c r="F33" s="7" t="str">
        <x:v>事件结束即结束。重复动作需变体或限频。</x:v>
      </x:c>
      <x:c r="G33" s="7" t="str">
        <x:v>通用</x:v>
      </x:c>
      <x:c r="H33" s="14" t="n">
        <x:v>3</x:v>
      </x:c>
      <x:c r="I33" s="15" t="str">
        <x:v>是</x:v>
      </x:c>
      <x:c r="J33" s="15" t="str">
        <x:v>待确认</x:v>
      </x:c>
      <x:c r="K33" s="7" t="str">
        <x:v>同地面走跑潜行共用素材组，靠节奏与音量区分。建议3个变体。</x:v>
      </x:c>
    </x:row>
    <x:row r="34" ht="65" customHeight="1">
      <x:c r="A34" s="3" t="str">
        <x:v>S10</x:v>
      </x:c>
      <x:c r="B34" s="3" t="str">
        <x:v>音效</x:v>
      </x:c>
      <x:c r="C34" s="3" t="str">
        <x:v>木地脚步</x:v>
      </x:c>
      <x:c r="D34" s="3" t="str">
        <x:v>露天戏台、楼梯、木结构区域</x:v>
      </x:c>
      <x:c r="E34" s="3" t="str">
        <x:v>脚落地</x:v>
      </x:c>
      <x:c r="F34" s="3" t="str">
        <x:v>事件结束即结束。重复动作需变体或限频。</x:v>
      </x:c>
      <x:c r="G34" s="3" t="str">
        <x:v>通用</x:v>
      </x:c>
      <x:c r="H34" s="14" t="n">
        <x:v>3</x:v>
      </x:c>
      <x:c r="I34" s="15" t="str">
        <x:v>是</x:v>
      </x:c>
      <x:c r="J34" s="15" t="str">
        <x:v>待确认</x:v>
      </x:c>
      <x:c r="K34" s="3" t="str">
        <x:v>建议3个变体，楼梯复用。</x:v>
      </x:c>
    </x:row>
    <x:row r="35" ht="65" customHeight="1">
      <x:c r="A35" s="7" t="str">
        <x:v>S11</x:v>
      </x:c>
      <x:c r="B35" s="7" t="str">
        <x:v>音效</x:v>
      </x:c>
      <x:c r="C35" s="7" t="str">
        <x:v>水地脚步</x:v>
      </x:c>
      <x:c r="D35" s="7" t="str">
        <x:v>阶段三与湿地</x:v>
      </x:c>
      <x:c r="E35" s="7" t="str">
        <x:v>水面或湿地脚落地</x:v>
      </x:c>
      <x:c r="F35" s="7" t="str">
        <x:v>事件结束即结束。重复动作需变体或限频。</x:v>
      </x:c>
      <x:c r="G35" s="7" t="str">
        <x:v>通用</x:v>
      </x:c>
      <x:c r="H35" s="14" t="n">
        <x:v>3</x:v>
      </x:c>
      <x:c r="I35" s="15" t="str">
        <x:v>否</x:v>
      </x:c>
      <x:c r="J35" s="15" t="str">
        <x:v>待确认</x:v>
      </x:c>
      <x:c r="K35" s="7" t="str">
        <x:v>建议3个变体。</x:v>
      </x:c>
    </x:row>
    <x:row r="36" ht="65" customHeight="1">
      <x:c r="A36" s="3" t="str">
        <x:v>S12</x:v>
      </x:c>
      <x:c r="B36" s="3" t="str">
        <x:v>音效</x:v>
      </x:c>
      <x:c r="C36" s="3" t="str">
        <x:v>衣物动作</x:v>
      </x:c>
      <x:c r="D36" s="3" t="str">
        <x:v>移动、潜行、转身</x:v>
      </x:c>
      <x:c r="E36" s="3" t="str">
        <x:v>显著衣物动作</x:v>
      </x:c>
      <x:c r="F36" s="3" t="str">
        <x:v>事件结束即结束。重复动作需变体或限频。</x:v>
      </x:c>
      <x:c r="G36" s="3" t="str">
        <x:v>通用</x:v>
      </x:c>
      <x:c r="H36" s="14" t="n">
        <x:v>1</x:v>
      </x:c>
      <x:c r="I36" s="15" t="str">
        <x:v>是</x:v>
      </x:c>
      <x:c r="J36" s="15" t="str">
        <x:v>待确认</x:v>
      </x:c>
      <x:c r="K36" s="3" t="str">
        <x:v>声音表现为本次建议，动作来自对应流程。</x:v>
      </x:c>
    </x:row>
    <x:row r="37" ht="65" customHeight="1">
      <x:c r="A37" s="7" t="str">
        <x:v>S13</x:v>
      </x:c>
      <x:c r="B37" s="7" t="str">
        <x:v>音效</x:v>
      </x:c>
      <x:c r="C37" s="7" t="str">
        <x:v>镜面转场进入</x:v>
      </x:c>
      <x:c r="D37" s="7" t="str">
        <x:v>两界门槛、阶段九特殊镜面</x:v>
      </x:c>
      <x:c r="E37" s="7" t="str">
        <x:v>确认进入镜面</x:v>
      </x:c>
      <x:c r="F37" s="7" t="str">
        <x:v>事件结束即结束。重复动作需变体或限频。</x:v>
      </x:c>
      <x:c r="G37" s="7" t="str">
        <x:v>通用</x:v>
      </x:c>
      <x:c r="H37" s="14" t="n">
        <x:v>1</x:v>
      </x:c>
      <x:c r="I37" s="15" t="str">
        <x:v>否</x:v>
      </x:c>
      <x:c r="J37" s="15" t="str">
        <x:v>待确认</x:v>
      </x:c>
      <x:c r="K37" s="7" t="str">
        <x:v>声音表现为本次建议，动作来自对应流程。</x:v>
      </x:c>
    </x:row>
    <x:row r="38" ht="65" customHeight="1">
      <x:c r="A38" s="3" t="str">
        <x:v>S14</x:v>
      </x:c>
      <x:c r="B38" s="3" t="str">
        <x:v>音效</x:v>
      </x:c>
      <x:c r="C38" s="3" t="str">
        <x:v>镜面转场到达</x:v>
      </x:c>
      <x:c r="D38" s="3" t="str">
        <x:v>两界门槛、阶段九特殊镜面</x:v>
      </x:c>
      <x:c r="E38" s="3" t="str">
        <x:v>到达并恢复操作</x:v>
      </x:c>
      <x:c r="F38" s="3" t="str">
        <x:v>事件结束即结束。重复动作需变体或限频。</x:v>
      </x:c>
      <x:c r="G38" s="3" t="str">
        <x:v>通用</x:v>
      </x:c>
      <x:c r="H38" s="14" t="n">
        <x:v>1</x:v>
      </x:c>
      <x:c r="I38" s="15" t="str">
        <x:v>否</x:v>
      </x:c>
      <x:c r="J38" s="15" t="str">
        <x:v>待确认</x:v>
      </x:c>
      <x:c r="K38" s="3" t="str">
        <x:v>声音表现为本次建议，动作来自对应流程。</x:v>
      </x:c>
    </x:row>
    <x:row r="39" ht="65" customHeight="1">
      <x:c r="A39" s="7" t="str">
        <x:v>S15</x:v>
      </x:c>
      <x:c r="B39" s="7" t="str">
        <x:v>音效</x:v>
      </x:c>
      <x:c r="C39" s="7" t="str">
        <x:v>物资箱打开</x:v>
      </x:c>
      <x:c r="D39" s="7" t="str">
        <x:v>探索与白盒金银行</x:v>
      </x:c>
      <x:c r="E39" s="7" t="str">
        <x:v>箱子真正打开</x:v>
      </x:c>
      <x:c r="F39" s="7" t="str">
        <x:v>事件结束即结束。重复动作需变体或限频。</x:v>
      </x:c>
      <x:c r="G39" s="7" t="str">
        <x:v>通用</x:v>
      </x:c>
      <x:c r="H39" s="14" t="n">
        <x:v>1</x:v>
      </x:c>
      <x:c r="I39" s="15" t="str">
        <x:v>是</x:v>
      </x:c>
      <x:c r="J39" s="15" t="str">
        <x:v>待确认</x:v>
      </x:c>
      <x:c r="K39" s="7" t="str">
        <x:v>声音表现为本次建议，动作来自对应流程。</x:v>
      </x:c>
    </x:row>
    <x:row r="40" ht="65" customHeight="1">
      <x:c r="A40" s="3" t="str">
        <x:v>S16</x:v>
      </x:c>
      <x:c r="B40" s="3" t="str">
        <x:v>音效</x:v>
      </x:c>
      <x:c r="C40" s="3" t="str">
        <x:v>普通物品拾取</x:v>
      </x:c>
      <x:c r="D40" s="3" t="str">
        <x:v>箱子、皮面具、钥匙、线索</x:v>
      </x:c>
      <x:c r="E40" s="3" t="str">
        <x:v>奖励入背包</x:v>
      </x:c>
      <x:c r="F40" s="3" t="str">
        <x:v>事件结束即结束。重复动作需变体或限频。</x:v>
      </x:c>
      <x:c r="G40" s="3" t="str">
        <x:v>通用</x:v>
      </x:c>
      <x:c r="H40" s="14" t="n">
        <x:v>1</x:v>
      </x:c>
      <x:c r="I40" s="15" t="str">
        <x:v>是</x:v>
      </x:c>
      <x:c r="J40" s="15" t="str">
        <x:v>待确认</x:v>
      </x:c>
      <x:c r="K40" s="3" t="str">
        <x:v>声音表现为本次建议，动作来自对应流程。</x:v>
      </x:c>
    </x:row>
    <x:row r="41" ht="65" customHeight="1">
      <x:c r="A41" s="7" t="str">
        <x:v>S17</x:v>
      </x:c>
      <x:c r="B41" s="7" t="str">
        <x:v>音效</x:v>
      </x:c>
      <x:c r="C41" s="7" t="str">
        <x:v>钥匙解锁</x:v>
      </x:c>
      <x:c r="D41" s="7" t="str">
        <x:v>身份或钥匙关口</x:v>
      </x:c>
      <x:c r="E41" s="7" t="str">
        <x:v>解锁成功</x:v>
      </x:c>
      <x:c r="F41" s="7" t="str">
        <x:v>事件结束即结束。重复动作需变体或限频。</x:v>
      </x:c>
      <x:c r="G41" s="7" t="str">
        <x:v>通用</x:v>
      </x:c>
      <x:c r="H41" s="14" t="n">
        <x:v>1</x:v>
      </x:c>
      <x:c r="I41" s="15" t="str">
        <x:v>是</x:v>
      </x:c>
      <x:c r="J41" s="15" t="str">
        <x:v>待确认</x:v>
      </x:c>
      <x:c r="K41" s="7" t="str">
        <x:v>声音表现为本次建议，动作来自对应流程。</x:v>
      </x:c>
    </x:row>
    <x:row r="42" ht="65" customHeight="1">
      <x:c r="A42" s="3" t="str">
        <x:v>S18</x:v>
      </x:c>
      <x:c r="B42" s="3" t="str">
        <x:v>音效</x:v>
      </x:c>
      <x:c r="C42" s="3" t="str">
        <x:v>门开启</x:v>
      </x:c>
      <x:c r="D42" s="3" t="str">
        <x:v>可通行关口</x:v>
      </x:c>
      <x:c r="E42" s="3" t="str">
        <x:v>门开启</x:v>
      </x:c>
      <x:c r="F42" s="3" t="str">
        <x:v>事件结束即结束。重复动作需变体或限频。</x:v>
      </x:c>
      <x:c r="G42" s="3" t="str">
        <x:v>通用</x:v>
      </x:c>
      <x:c r="H42" s="14" t="n">
        <x:v>1</x:v>
      </x:c>
      <x:c r="I42" s="15" t="str">
        <x:v>是</x:v>
      </x:c>
      <x:c r="J42" s="15" t="str">
        <x:v>待确认</x:v>
      </x:c>
      <x:c r="K42" s="3" t="str">
        <x:v>声音表现为本次建议，动作来自对应流程。</x:v>
      </x:c>
    </x:row>
    <x:row r="43" ht="65" customHeight="1">
      <x:c r="A43" s="7" t="str">
        <x:v>S19</x:v>
      </x:c>
      <x:c r="B43" s="7" t="str">
        <x:v>音效</x:v>
      </x:c>
      <x:c r="C43" s="7" t="str">
        <x:v>门关闭</x:v>
      </x:c>
      <x:c r="D43" s="7" t="str">
        <x:v>可通行关口</x:v>
      </x:c>
      <x:c r="E43" s="7" t="str">
        <x:v>门关闭</x:v>
      </x:c>
      <x:c r="F43" s="7" t="str">
        <x:v>事件结束即结束。重复动作需变体或限频。</x:v>
      </x:c>
      <x:c r="G43" s="7" t="str">
        <x:v>通用</x:v>
      </x:c>
      <x:c r="H43" s="14" t="n">
        <x:v>1</x:v>
      </x:c>
      <x:c r="I43" s="15" t="str">
        <x:v>是</x:v>
      </x:c>
      <x:c r="J43" s="15" t="str">
        <x:v>待确认</x:v>
      </x:c>
      <x:c r="K43" s="7" t="str">
        <x:v>声音表现为本次建议，动作来自对应流程。</x:v>
      </x:c>
    </x:row>
    <x:row r="44" ht="65" customHeight="1">
      <x:c r="A44" s="3" t="str">
        <x:v>S20</x:v>
      </x:c>
      <x:c r="B44" s="3" t="str">
        <x:v>音效</x:v>
      </x:c>
      <x:c r="C44" s="3" t="str">
        <x:v>文书展开</x:v>
      </x:c>
      <x:c r="D44" s="3" t="str">
        <x:v>阶段二、四、五、七、八、十、十一</x:v>
      </x:c>
      <x:c r="E44" s="3" t="str">
        <x:v>打开名簿、卷宗或卷轴</x:v>
      </x:c>
      <x:c r="F44" s="3" t="str">
        <x:v>事件结束即结束。重复动作需变体或限频。</x:v>
      </x:c>
      <x:c r="G44" s="3" t="str">
        <x:v>通用</x:v>
      </x:c>
      <x:c r="H44" s="14" t="n">
        <x:v>1</x:v>
      </x:c>
      <x:c r="I44" s="15" t="str">
        <x:v>否</x:v>
      </x:c>
      <x:c r="J44" s="15" t="str">
        <x:v>待确认</x:v>
      </x:c>
      <x:c r="K44" s="3" t="str">
        <x:v>声音表现为本次建议，动作来自对应流程。</x:v>
      </x:c>
    </x:row>
    <x:row r="45" ht="65" customHeight="1">
      <x:c r="A45" s="7" t="str">
        <x:v>S21</x:v>
      </x:c>
      <x:c r="B45" s="7" t="str">
        <x:v>音效</x:v>
      </x:c>
      <x:c r="C45" s="7" t="str">
        <x:v>文书翻页</x:v>
      </x:c>
      <x:c r="D45" s="7" t="str">
        <x:v>文书查看</x:v>
      </x:c>
      <x:c r="E45" s="7" t="str">
        <x:v>实际翻页</x:v>
      </x:c>
      <x:c r="F45" s="7" t="str">
        <x:v>事件结束即结束。重复动作需变体或限频。</x:v>
      </x:c>
      <x:c r="G45" s="7" t="str">
        <x:v>通用</x:v>
      </x:c>
      <x:c r="H45" s="14" t="n">
        <x:v>1</x:v>
      </x:c>
      <x:c r="I45" s="15" t="str">
        <x:v>否</x:v>
      </x:c>
      <x:c r="J45" s="15" t="str">
        <x:v>待确认</x:v>
      </x:c>
      <x:c r="K45" s="7" t="str">
        <x:v>声音表现为本次建议，动作来自对应流程。</x:v>
      </x:c>
    </x:row>
    <x:row r="46" ht="65" customHeight="1">
      <x:c r="A46" s="3" t="str">
        <x:v>S22</x:v>
      </x:c>
      <x:c r="B46" s="3" t="str">
        <x:v>音效</x:v>
      </x:c>
      <x:c r="C46" s="3" t="str">
        <x:v>抄录落笔</x:v>
      </x:c>
      <x:c r="D46" s="3" t="str">
        <x:v>阶段三抄录、调查表现</x:v>
      </x:c>
      <x:c r="E46" s="3" t="str">
        <x:v>落笔或划记</x:v>
      </x:c>
      <x:c r="F46" s="3" t="str">
        <x:v>事件结束即结束。重复动作需变体或限频。</x:v>
      </x:c>
      <x:c r="G46" s="3" t="str">
        <x:v>通用</x:v>
      </x:c>
      <x:c r="H46" s="14" t="n">
        <x:v>1</x:v>
      </x:c>
      <x:c r="I46" s="15" t="str">
        <x:v>否</x:v>
      </x:c>
      <x:c r="J46" s="15" t="str">
        <x:v>待确认</x:v>
      </x:c>
      <x:c r="K46" s="3" t="str">
        <x:v>声音表现为本次建议，动作来自对应流程。</x:v>
      </x:c>
    </x:row>
    <x:row r="47" ht="65" customHeight="1">
      <x:c r="A47" s="7" t="str">
        <x:v>S23</x:v>
      </x:c>
      <x:c r="B47" s="7" t="str">
        <x:v>音效</x:v>
      </x:c>
      <x:c r="C47" s="7" t="str">
        <x:v>面具装备</x:v>
      </x:c>
      <x:c r="D47" s="7" t="str">
        <x:v>借身份</x:v>
      </x:c>
      <x:c r="E47" s="7" t="str">
        <x:v>装备成功、身份生效</x:v>
      </x:c>
      <x:c r="F47" s="7" t="str">
        <x:v>事件结束即结束。重复动作需变体或限频。</x:v>
      </x:c>
      <x:c r="G47" s="7" t="str">
        <x:v>通用</x:v>
      </x:c>
      <x:c r="H47" s="14" t="n">
        <x:v>1</x:v>
      </x:c>
      <x:c r="I47" s="15" t="str">
        <x:v>是</x:v>
      </x:c>
      <x:c r="J47" s="15" t="str">
        <x:v>待确认</x:v>
      </x:c>
      <x:c r="K47" s="7" t="str">
        <x:v>声音表现为本次建议，动作来自对应流程。</x:v>
      </x:c>
    </x:row>
    <x:row r="48" ht="65" customHeight="1">
      <x:c r="A48" s="3" t="str">
        <x:v>S24</x:v>
      </x:c>
      <x:c r="B48" s="3" t="str">
        <x:v>音效</x:v>
      </x:c>
      <x:c r="C48" s="3" t="str">
        <x:v>身份退出</x:v>
      </x:c>
      <x:c r="D48" s="3" t="str">
        <x:v>借身份</x:v>
      </x:c>
      <x:c r="E48" s="3" t="str">
        <x:v>身份退出或装备解除</x:v>
      </x:c>
      <x:c r="F48" s="3" t="str">
        <x:v>事件结束即结束。重复动作需变体或限频。</x:v>
      </x:c>
      <x:c r="G48" s="3" t="str">
        <x:v>通用</x:v>
      </x:c>
      <x:c r="H48" s="14" t="n">
        <x:v>1</x:v>
      </x:c>
      <x:c r="I48" s="15" t="str">
        <x:v>是</x:v>
      </x:c>
      <x:c r="J48" s="15" t="str">
        <x:v>待确认</x:v>
      </x:c>
      <x:c r="K48" s="3" t="str">
        <x:v>声音表现为本次建议，动作来自对应流程。</x:v>
      </x:c>
    </x:row>
    <x:row r="49" ht="65" customHeight="1">
      <x:c r="A49" s="7" t="str">
        <x:v>S25</x:v>
      </x:c>
      <x:c r="B49" s="7" t="str">
        <x:v>音效</x:v>
      </x:c>
      <x:c r="C49" s="7" t="str">
        <x:v>驯服成功</x:v>
      </x:c>
      <x:c r="D49" s="7" t="str">
        <x:v>控制角色</x:v>
      </x:c>
      <x:c r="E49" s="7" t="str">
        <x:v>目标首次驯服成功</x:v>
      </x:c>
      <x:c r="F49" s="7" t="str">
        <x:v>事件结束即结束。重复动作需变体或限频。</x:v>
      </x:c>
      <x:c r="G49" s="7" t="str">
        <x:v>通用</x:v>
      </x:c>
      <x:c r="H49" s="14" t="n">
        <x:v>1</x:v>
      </x:c>
      <x:c r="I49" s="15" t="str">
        <x:v>是</x:v>
      </x:c>
      <x:c r="J49" s="15" t="str">
        <x:v>待确认</x:v>
      </x:c>
      <x:c r="K49" s="7" t="str">
        <x:v>声音表现为本次建议，动作来自对应流程。</x:v>
      </x:c>
    </x:row>
    <x:row r="50" ht="65" customHeight="1">
      <x:c r="A50" s="3" t="str">
        <x:v>S26</x:v>
      </x:c>
      <x:c r="B50" s="3" t="str">
        <x:v>音效</x:v>
      </x:c>
      <x:c r="C50" s="3" t="str">
        <x:v>控制切换</x:v>
      </x:c>
      <x:c r="D50" s="3" t="str">
        <x:v>控制角色</x:v>
      </x:c>
      <x:c r="E50" s="3" t="str">
        <x:v>实际切到目标或本体</x:v>
      </x:c>
      <x:c r="F50" s="3" t="str">
        <x:v>事件结束即结束。重复动作需变体或限频。</x:v>
      </x:c>
      <x:c r="G50" s="3" t="str">
        <x:v>通用</x:v>
      </x:c>
      <x:c r="H50" s="14" t="n">
        <x:v>1</x:v>
      </x:c>
      <x:c r="I50" s="15" t="str">
        <x:v>是</x:v>
      </x:c>
      <x:c r="J50" s="15" t="str">
        <x:v>待确认</x:v>
      </x:c>
      <x:c r="K50" s="3" t="str">
        <x:v>声音表现为本次建议，动作来自对应流程。</x:v>
      </x:c>
    </x:row>
    <x:row r="51" ht="65" customHeight="1">
      <x:c r="A51" s="7" t="str">
        <x:v>S27</x:v>
      </x:c>
      <x:c r="B51" s="7" t="str">
        <x:v>音效</x:v>
      </x:c>
      <x:c r="C51" s="7" t="str">
        <x:v>身份暴露</x:v>
      </x:c>
      <x:c r="D51" s="7" t="str">
        <x:v>身份风险</x:v>
      </x:c>
      <x:c r="E51" s="7" t="str">
        <x:v>露馅确认</x:v>
      </x:c>
      <x:c r="F51" s="7" t="str">
        <x:v>事件结束即结束。重复动作需变体或限频。</x:v>
      </x:c>
      <x:c r="G51" s="7" t="str">
        <x:v>通用</x:v>
      </x:c>
      <x:c r="H51" s="14" t="n">
        <x:v>1</x:v>
      </x:c>
      <x:c r="I51" s="15" t="str">
        <x:v>否</x:v>
      </x:c>
      <x:c r="J51" s="15" t="str">
        <x:v>待确认</x:v>
      </x:c>
      <x:c r="K51" s="7" t="str">
        <x:v>声音表现为本次建议，动作来自对应流程。</x:v>
      </x:c>
    </x:row>
    <x:row r="52" ht="65" customHeight="1">
      <x:c r="A52" s="3" t="str">
        <x:v>S28</x:v>
      </x:c>
      <x:c r="B52" s="3" t="str">
        <x:v>音效</x:v>
      </x:c>
      <x:c r="C52" s="3" t="str">
        <x:v>身份核验通过</x:v>
      </x:c>
      <x:c r="D52" s="3" t="str">
        <x:v>身份关口</x:v>
      </x:c>
      <x:c r="E52" s="3" t="str">
        <x:v>正确身份通过核验</x:v>
      </x:c>
      <x:c r="F52" s="3" t="str">
        <x:v>事件结束即结束。重复动作需变体或限频。</x:v>
      </x:c>
      <x:c r="G52" s="3" t="str">
        <x:v>通用</x:v>
      </x:c>
      <x:c r="H52" s="14" t="n">
        <x:v>1</x:v>
      </x:c>
      <x:c r="I52" s="15" t="str">
        <x:v>是</x:v>
      </x:c>
      <x:c r="J52" s="15" t="str">
        <x:v>待确认</x:v>
      </x:c>
      <x:c r="K52" s="3" t="str">
        <x:v>声音表现为本次建议，动作来自对应流程。</x:v>
      </x:c>
    </x:row>
    <x:row r="53" ht="65" customHeight="1">
      <x:c r="A53" s="7" t="str">
        <x:v>S29</x:v>
      </x:c>
      <x:c r="B53" s="7" t="str">
        <x:v>音效</x:v>
      </x:c>
      <x:c r="C53" s="7" t="str">
        <x:v>开始被注意</x:v>
      </x:c>
      <x:c r="D53" s="7" t="str">
        <x:v>潜行</x:v>
      </x:c>
      <x:c r="E53" s="7" t="str">
        <x:v>首次进入警戒</x:v>
      </x:c>
      <x:c r="F53" s="7" t="str">
        <x:v>事件结束即结束。重复动作需变体或限频。</x:v>
      </x:c>
      <x:c r="G53" s="7" t="str">
        <x:v>通用</x:v>
      </x:c>
      <x:c r="H53" s="14" t="n">
        <x:v>1</x:v>
      </x:c>
      <x:c r="I53" s="15" t="str">
        <x:v>是</x:v>
      </x:c>
      <x:c r="J53" s="15" t="str">
        <x:v>待确认</x:v>
      </x:c>
      <x:c r="K53" s="7" t="str">
        <x:v>短提示。不要警戒值每帧变化都播放。</x:v>
      </x:c>
    </x:row>
    <x:row r="54" ht="65" customHeight="1">
      <x:c r="A54" s="3" t="str">
        <x:v>S30</x:v>
      </x:c>
      <x:c r="B54" s="3" t="str">
        <x:v>音效</x:v>
      </x:c>
      <x:c r="C54" s="3" t="str">
        <x:v>进入敌对</x:v>
      </x:c>
      <x:c r="D54" s="3" t="str">
        <x:v>潜行与追逐</x:v>
      </x:c>
      <x:c r="E54" s="3" t="str">
        <x:v>警戒满或进入敌对</x:v>
      </x:c>
      <x:c r="F54" s="3" t="str">
        <x:v>事件结束即结束。重复动作需变体或限频。</x:v>
      </x:c>
      <x:c r="G54" s="3" t="str">
        <x:v>通用</x:v>
      </x:c>
      <x:c r="H54" s="14" t="n">
        <x:v>1</x:v>
      </x:c>
      <x:c r="I54" s="15" t="str">
        <x:v>是</x:v>
      </x:c>
      <x:c r="J54" s="15" t="str">
        <x:v>待确认</x:v>
      </x:c>
      <x:c r="K54" s="3" t="str">
        <x:v>追逐开始可复用本项，不重复另加一条警报。</x:v>
      </x:c>
    </x:row>
    <x:row r="55" ht="65" customHeight="1">
      <x:c r="A55" s="7" t="str">
        <x:v>S31</x:v>
      </x:c>
      <x:c r="B55" s="7" t="str">
        <x:v>音效</x:v>
      </x:c>
      <x:c r="C55" s="7" t="str">
        <x:v>摆脱追逐</x:v>
      </x:c>
      <x:c r="D55" s="7" t="str">
        <x:v>追逐</x:v>
      </x:c>
      <x:c r="E55" s="7" t="str">
        <x:v>逃脱条件达成</x:v>
      </x:c>
      <x:c r="F55" s="7" t="str">
        <x:v>事件结束即结束。重复动作需变体或限频。</x:v>
      </x:c>
      <x:c r="G55" s="7" t="str">
        <x:v>通用</x:v>
      </x:c>
      <x:c r="H55" s="14" t="n">
        <x:v>1</x:v>
      </x:c>
      <x:c r="I55" s="15" t="str">
        <x:v>是</x:v>
      </x:c>
      <x:c r="J55" s="15" t="str">
        <x:v>待确认</x:v>
      </x:c>
      <x:c r="K55" s="7" t="str">
        <x:v>声音表现为本次建议，动作来自对应流程。</x:v>
      </x:c>
    </x:row>
    <x:row r="56" ht="65" customHeight="1">
      <x:c r="A56" s="3" t="str">
        <x:v>S32</x:v>
      </x:c>
      <x:c r="B56" s="3" t="str">
        <x:v>音效</x:v>
      </x:c>
      <x:c r="C56" s="3" t="str">
        <x:v>玩家击倒</x:v>
      </x:c>
      <x:c r="D56" s="3" t="str">
        <x:v>实时受击、追逐被抓</x:v>
      </x:c>
      <x:c r="E56" s="3" t="str">
        <x:v>进入倒地</x:v>
      </x:c>
      <x:c r="F56" s="3" t="str">
        <x:v>事件结束即结束。重复动作需变体或限频。</x:v>
      </x:c>
      <x:c r="G56" s="3" t="str">
        <x:v>通用</x:v>
      </x:c>
      <x:c r="H56" s="14" t="n">
        <x:v>1</x:v>
      </x:c>
      <x:c r="I56" s="15" t="str">
        <x:v>是</x:v>
      </x:c>
      <x:c r="J56" s="15" t="str">
        <x:v>待确认</x:v>
      </x:c>
      <x:c r="K56" s="3" t="str">
        <x:v>声音表现为本次建议，动作来自对应流程。</x:v>
      </x:c>
    </x:row>
    <x:row r="57" ht="65" customHeight="1">
      <x:c r="A57" s="7" t="str">
        <x:v>S33</x:v>
      </x:c>
      <x:c r="B57" s="7" t="str">
        <x:v>音效</x:v>
      </x:c>
      <x:c r="C57" s="7" t="str">
        <x:v>背后处决</x:v>
      </x:c>
      <x:c r="D57" s="7" t="str">
        <x:v>潜行</x:v>
      </x:c>
      <x:c r="E57" s="7" t="str">
        <x:v>处决命中</x:v>
      </x:c>
      <x:c r="F57" s="7" t="str">
        <x:v>事件结束即结束。重复动作需变体或限频。</x:v>
      </x:c>
      <x:c r="G57" s="7" t="str">
        <x:v>通用</x:v>
      </x:c>
      <x:c r="H57" s="14" t="n">
        <x:v>1</x:v>
      </x:c>
      <x:c r="I57" s="15" t="str">
        <x:v>是</x:v>
      </x:c>
      <x:c r="J57" s="15" t="str">
        <x:v>待确认</x:v>
      </x:c>
      <x:c r="K57" s="7" t="str">
        <x:v>声音表现为本次建议，动作来自对应流程。</x:v>
      </x:c>
    </x:row>
    <x:row r="58" ht="65" customHeight="1">
      <x:c r="A58" s="3" t="str">
        <x:v>S34</x:v>
      </x:c>
      <x:c r="B58" s="3" t="str">
        <x:v>音效</x:v>
      </x:c>
      <x:c r="C58" s="3" t="str">
        <x:v>玩家招式一</x:v>
      </x:c>
      <x:c r="D58" s="3" t="str">
        <x:v>回合制战斗</x:v>
      </x:c>
      <x:c r="E58" s="3" t="str">
        <x:v>普攻击出</x:v>
      </x:c>
      <x:c r="F58" s="3" t="str">
        <x:v>事件结束即结束。重复动作需变体或限频。</x:v>
      </x:c>
      <x:c r="G58" s="3" t="str">
        <x:v>通用</x:v>
      </x:c>
      <x:c r="H58" s="14" t="n">
        <x:v>1</x:v>
      </x:c>
      <x:c r="I58" s="15" t="str">
        <x:v>是</x:v>
      </x:c>
      <x:c r="J58" s="15" t="str">
        <x:v>待确认</x:v>
      </x:c>
      <x:c r="K58" s="3" t="str">
        <x:v>声音表现为本次建议，动作来自对应流程。</x:v>
      </x:c>
    </x:row>
    <x:row r="59" ht="65" customHeight="1">
      <x:c r="A59" s="7" t="str">
        <x:v>S35</x:v>
      </x:c>
      <x:c r="B59" s="7" t="str">
        <x:v>音效</x:v>
      </x:c>
      <x:c r="C59" s="7" t="str">
        <x:v>玩家招式二</x:v>
      </x:c>
      <x:c r="D59" s="7" t="str">
        <x:v>回合制战斗</x:v>
      </x:c>
      <x:c r="E59" s="7" t="str">
        <x:v>蓄力重击击出</x:v>
      </x:c>
      <x:c r="F59" s="7" t="str">
        <x:v>事件结束即结束。重复动作需变体或限频。</x:v>
      </x:c>
      <x:c r="G59" s="7" t="str">
        <x:v>通用</x:v>
      </x:c>
      <x:c r="H59" s="14" t="n">
        <x:v>1</x:v>
      </x:c>
      <x:c r="I59" s="15" t="str">
        <x:v>是</x:v>
      </x:c>
      <x:c r="J59" s="15" t="str">
        <x:v>待确认</x:v>
      </x:c>
      <x:c r="K59" s="7" t="str">
        <x:v>声音表现为本次建议，动作来自对应流程。</x:v>
      </x:c>
    </x:row>
    <x:row r="60" ht="65" customHeight="1">
      <x:c r="A60" s="3" t="str">
        <x:v>S36</x:v>
      </x:c>
      <x:c r="B60" s="3" t="str">
        <x:v>音效</x:v>
      </x:c>
      <x:c r="C60" s="3" t="str">
        <x:v>玩家招式三</x:v>
      </x:c>
      <x:c r="D60" s="3" t="str">
        <x:v>回合制战斗</x:v>
      </x:c>
      <x:c r="E60" s="3" t="str">
        <x:v>高强度招式击出</x:v>
      </x:c>
      <x:c r="F60" s="3" t="str">
        <x:v>事件结束即结束。重复动作需变体或限频。</x:v>
      </x:c>
      <x:c r="G60" s="3" t="str">
        <x:v>通用</x:v>
      </x:c>
      <x:c r="H60" s="14" t="n">
        <x:v>1</x:v>
      </x:c>
      <x:c r="I60" s="15" t="str">
        <x:v>是</x:v>
      </x:c>
      <x:c r="J60" s="15" t="str">
        <x:v>待确认</x:v>
      </x:c>
      <x:c r="K60" s="3" t="str">
        <x:v>声音表现为本次建议，动作来自对应流程。</x:v>
      </x:c>
    </x:row>
    <x:row r="61" ht="65" customHeight="1">
      <x:c r="A61" s="7" t="str">
        <x:v>S37</x:v>
      </x:c>
      <x:c r="B61" s="7" t="str">
        <x:v>音效</x:v>
      </x:c>
      <x:c r="C61" s="7" t="str">
        <x:v>BOSS普通攻击</x:v>
      </x:c>
      <x:c r="D61" s="7" t="str">
        <x:v>回合制战斗</x:v>
      </x:c>
      <x:c r="E61" s="7" t="str">
        <x:v>BOSS普通攻击击出</x:v>
      </x:c>
      <x:c r="F61" s="7" t="str">
        <x:v>事件结束即结束。重复动作需变体或限频。</x:v>
      </x:c>
      <x:c r="G61" s="7" t="str">
        <x:v>通用</x:v>
      </x:c>
      <x:c r="H61" s="14" t="n">
        <x:v>1</x:v>
      </x:c>
      <x:c r="I61" s="15" t="str">
        <x:v>是</x:v>
      </x:c>
      <x:c r="J61" s="15" t="str">
        <x:v>待确认</x:v>
      </x:c>
      <x:c r="K61" s="7" t="str">
        <x:v>声音表现为本次建议，动作来自对应流程。</x:v>
      </x:c>
    </x:row>
    <x:row r="62" ht="65" customHeight="1">
      <x:c r="A62" s="3" t="str">
        <x:v>S38</x:v>
      </x:c>
      <x:c r="B62" s="3" t="str">
        <x:v>音效</x:v>
      </x:c>
      <x:c r="C62" s="3" t="str">
        <x:v>饮酒</x:v>
      </x:c>
      <x:c r="D62" s="3" t="str">
        <x:v>酒肆与阶段一BOSS</x:v>
      </x:c>
      <x:c r="E62" s="3" t="str">
        <x:v>实际饮酒</x:v>
      </x:c>
      <x:c r="F62" s="3" t="str">
        <x:v>事件结束即结束。重复动作需变体或限频。</x:v>
      </x:c>
      <x:c r="G62" s="3" t="str">
        <x:v>通用</x:v>
      </x:c>
      <x:c r="H62" s="14" t="n">
        <x:v>1</x:v>
      </x:c>
      <x:c r="I62" s="15" t="str">
        <x:v>是</x:v>
      </x:c>
      <x:c r="J62" s="15" t="str">
        <x:v>待确认</x:v>
      </x:c>
      <x:c r="K62" s="3" t="str">
        <x:v>场外饮酒与BOSS饮酒共享一组。</x:v>
      </x:c>
    </x:row>
    <x:row r="63" ht="65" customHeight="1">
      <x:c r="A63" s="7" t="str">
        <x:v>S39</x:v>
      </x:c>
      <x:c r="B63" s="7" t="str">
        <x:v>音效</x:v>
      </x:c>
      <x:c r="C63" s="7" t="str">
        <x:v>BOSS高强度招式</x:v>
      </x:c>
      <x:c r="D63" s="7" t="str">
        <x:v>阶段一BOSS、通用战斗</x:v>
      </x:c>
      <x:c r="E63" s="7" t="str">
        <x:v>强招命中或释放</x:v>
      </x:c>
      <x:c r="F63" s="7" t="str">
        <x:v>事件结束即结束。重复动作需变体或限频。</x:v>
      </x:c>
      <x:c r="G63" s="7" t="str">
        <x:v>通用</x:v>
      </x:c>
      <x:c r="H63" s="14" t="n">
        <x:v>1</x:v>
      </x:c>
      <x:c r="I63" s="15" t="str">
        <x:v>是</x:v>
      </x:c>
      <x:c r="J63" s="15" t="str">
        <x:v>待确认</x:v>
      </x:c>
      <x:c r="K63" s="7" t="str">
        <x:v>声音表现为本次建议，动作来自对应流程。</x:v>
      </x:c>
    </x:row>
    <x:row r="64" ht="65" customHeight="1">
      <x:c r="A64" s="3" t="str">
        <x:v>S40</x:v>
      </x:c>
      <x:c r="B64" s="3" t="str">
        <x:v>音效</x:v>
      </x:c>
      <x:c r="C64" s="3" t="str">
        <x:v>玩家受击</x:v>
      </x:c>
      <x:c r="D64" s="3" t="str">
        <x:v>实时与回合制战斗</x:v>
      </x:c>
      <x:c r="E64" s="3" t="str">
        <x:v>玩家受击命中</x:v>
      </x:c>
      <x:c r="F64" s="3" t="str">
        <x:v>事件结束即结束。重复动作需变体或限频。</x:v>
      </x:c>
      <x:c r="G64" s="3" t="str">
        <x:v>通用</x:v>
      </x:c>
      <x:c r="H64" s="14" t="n">
        <x:v>3</x:v>
      </x:c>
      <x:c r="I64" s="15" t="str">
        <x:v>是</x:v>
      </x:c>
      <x:c r="J64" s="15" t="str">
        <x:v>待确认</x:v>
      </x:c>
      <x:c r="K64" s="3" t="str">
        <x:v>建议3个变体，不包含单独人物配音。</x:v>
      </x:c>
    </x:row>
    <x:row r="65" ht="65" customHeight="1">
      <x:c r="A65" s="7" t="str">
        <x:v>S41</x:v>
      </x:c>
      <x:c r="B65" s="7" t="str">
        <x:v>音效</x:v>
      </x:c>
      <x:c r="C65" s="7" t="str">
        <x:v>BOSS受击</x:v>
      </x:c>
      <x:c r="D65" s="7" t="str">
        <x:v>回合制战斗</x:v>
      </x:c>
      <x:c r="E65" s="7" t="str">
        <x:v>BOSS受击命中</x:v>
      </x:c>
      <x:c r="F65" s="7" t="str">
        <x:v>事件结束即结束。重复动作需变体或限频。</x:v>
      </x:c>
      <x:c r="G65" s="7" t="str">
        <x:v>通用</x:v>
      </x:c>
      <x:c r="H65" s="14" t="n">
        <x:v>3</x:v>
      </x:c>
      <x:c r="I65" s="15" t="str">
        <x:v>是</x:v>
      </x:c>
      <x:c r="J65" s="15" t="str">
        <x:v>待确认</x:v>
      </x:c>
      <x:c r="K65" s="7" t="str">
        <x:v>建议3个变体，普通小怪受击可先复用。</x:v>
      </x:c>
    </x:row>
    <x:row r="66" ht="65" customHeight="1">
      <x:c r="A66" s="3" t="str">
        <x:v>S42</x:v>
      </x:c>
      <x:c r="B66" s="3" t="str">
        <x:v>音效</x:v>
      </x:c>
      <x:c r="C66" s="3" t="str">
        <x:v>BOSS形态变化</x:v>
      </x:c>
      <x:c r="D66" s="3" t="str">
        <x:v>阶段六、九</x:v>
      </x:c>
      <x:c r="E66" s="3" t="str">
        <x:v>变形开始或关键变形帧</x:v>
      </x:c>
      <x:c r="F66" s="3" t="str">
        <x:v>事件结束即结束。重复动作需变体或限频。</x:v>
      </x:c>
      <x:c r="G66" s="3" t="str">
        <x:v>通用</x:v>
      </x:c>
      <x:c r="H66" s="14" t="n">
        <x:v>1</x:v>
      </x:c>
      <x:c r="I66" s="15" t="str">
        <x:v>否</x:v>
      </x:c>
      <x:c r="J66" s="15" t="str">
        <x:v>待确认</x:v>
      </x:c>
      <x:c r="K66" s="3" t="str">
        <x:v>声音表现为本次建议，动作来自对应流程。</x:v>
      </x:c>
    </x:row>
    <x:row r="67" ht="65" customHeight="1">
      <x:c r="A67" s="7" t="str">
        <x:v>S43</x:v>
      </x:c>
      <x:c r="B67" s="7" t="str">
        <x:v>音效</x:v>
      </x:c>
      <x:c r="C67" s="7" t="str">
        <x:v>BOSS倒下</x:v>
      </x:c>
      <x:c r="D67" s="7" t="str">
        <x:v>各BOSS战</x:v>
      </x:c>
      <x:c r="E67" s="7" t="str">
        <x:v>死亡或本形态结束</x:v>
      </x:c>
      <x:c r="F67" s="7" t="str">
        <x:v>事件结束即结束。重复动作需变体或限频。</x:v>
      </x:c>
      <x:c r="G67" s="7" t="str">
        <x:v>通用</x:v>
      </x:c>
      <x:c r="H67" s="14" t="n">
        <x:v>1</x:v>
      </x:c>
      <x:c r="I67" s="15" t="str">
        <x:v>是</x:v>
      </x:c>
      <x:c r="J67" s="15" t="str">
        <x:v>待确认</x:v>
      </x:c>
      <x:c r="K67" s="7" t="str">
        <x:v>声音表现为本次建议，动作来自对应流程。</x:v>
      </x:c>
    </x:row>
    <x:row r="68" ht="65" customHeight="1">
      <x:c r="A68" s="3" t="str">
        <x:v>S44</x:v>
      </x:c>
      <x:c r="B68" s="3" t="str">
        <x:v>音效</x:v>
      </x:c>
      <x:c r="C68" s="3" t="str">
        <x:v>倒酒</x:v>
      </x:c>
      <x:c r="D68" s="3" t="str">
        <x:v>阶段一酒肆</x:v>
      </x:c>
      <x:c r="E68" s="3" t="str">
        <x:v>灌酒动作</x:v>
      </x:c>
      <x:c r="F68" s="3" t="str">
        <x:v>事件结束即结束。重复动作需变体或限频。</x:v>
      </x:c>
      <x:c r="G68" s="3" t="str">
        <x:v>关卡条件</x:v>
      </x:c>
      <x:c r="H68" s="14" t="n">
        <x:v>1</x:v>
      </x:c>
      <x:c r="I68" s="15" t="str">
        <x:v>否</x:v>
      </x:c>
      <x:c r="J68" s="15" t="str">
        <x:v>待确认</x:v>
      </x:c>
      <x:c r="K68" s="3" t="str">
        <x:v>醉酒机制采用后制作。饮酒另复用S38。</x:v>
      </x:c>
    </x:row>
    <x:row r="69" ht="65" customHeight="1">
      <x:c r="A69" s="7" t="str">
        <x:v>S45</x:v>
      </x:c>
      <x:c r="B69" s="7" t="str">
        <x:v>音效</x:v>
      </x:c>
      <x:c r="C69" s="7" t="str">
        <x:v>锻打金属</x:v>
      </x:c>
      <x:c r="D69" s="7" t="str">
        <x:v>阶段一金银行</x:v>
      </x:c>
      <x:c r="E69" s="7" t="str">
        <x:v>打造有效点击</x:v>
      </x:c>
      <x:c r="F69" s="7" t="str">
        <x:v>事件结束即结束。重复动作需变体或限频。</x:v>
      </x:c>
      <x:c r="G69" s="7" t="str">
        <x:v>关卡条件</x:v>
      </x:c>
      <x:c r="H69" s="14" t="n">
        <x:v>1</x:v>
      </x:c>
      <x:c r="I69" s="15" t="str">
        <x:v>否</x:v>
      </x:c>
      <x:c r="J69" s="15" t="str">
        <x:v>待确认</x:v>
      </x:c>
      <x:c r="K69" s="7" t="str">
        <x:v>打造玩法确认后制作，不算普通BGM。</x:v>
      </x:c>
    </x:row>
    <x:row r="70" ht="65" customHeight="1">
      <x:c r="A70" s="3" t="str">
        <x:v>S46</x:v>
      </x:c>
      <x:c r="B70" s="3" t="str">
        <x:v>音效</x:v>
      </x:c>
      <x:c r="C70" s="3" t="str">
        <x:v>打造完成</x:v>
      </x:c>
      <x:c r="D70" s="3" t="str">
        <x:v>阶段一金银行</x:v>
      </x:c>
      <x:c r="E70" s="3" t="str">
        <x:v>金钥匙制作完成</x:v>
      </x:c>
      <x:c r="F70" s="3" t="str">
        <x:v>事件结束即结束。重复动作需变体或限频。</x:v>
      </x:c>
      <x:c r="G70" s="3" t="str">
        <x:v>关卡条件</x:v>
      </x:c>
      <x:c r="H70" s="14" t="n">
        <x:v>1</x:v>
      </x:c>
      <x:c r="I70" s="15" t="str">
        <x:v>否</x:v>
      </x:c>
      <x:c r="J70" s="15" t="str">
        <x:v>待确认</x:v>
      </x:c>
      <x:c r="K70" s="3" t="str">
        <x:v>可先复用拾取或成功短乐句，独立版本按预算决定。</x:v>
      </x:c>
    </x:row>
    <x:row r="71" ht="65" customHeight="1">
      <x:c r="A71" s="7" t="str">
        <x:v>S47</x:v>
      </x:c>
      <x:c r="B71" s="7" t="str">
        <x:v>音效</x:v>
      </x:c>
      <x:c r="C71" s="7" t="str">
        <x:v>水位改变</x:v>
      </x:c>
      <x:c r="D71" s="7" t="str">
        <x:v>阶段三</x:v>
      </x:c>
      <x:c r="E71" s="7" t="str">
        <x:v>水位升降开始与停止</x:v>
      </x:c>
      <x:c r="F71" s="7" t="str">
        <x:v>事件结束即结束。重复动作需变体或限频。</x:v>
      </x:c>
      <x:c r="G71" s="7" t="str">
        <x:v>关卡条件</x:v>
      </x:c>
      <x:c r="H71" s="14" t="n">
        <x:v>1</x:v>
      </x:c>
      <x:c r="I71" s="15" t="str">
        <x:v>否</x:v>
      </x:c>
      <x:c r="J71" s="15" t="str">
        <x:v>待确认</x:v>
      </x:c>
      <x:c r="K71" s="7" t="str">
        <x:v>短动作声为一组，持续水环境归A03。</x:v>
      </x:c>
    </x:row>
    <x:row r="72" ht="65" customHeight="1">
      <x:c r="A72" s="3" t="str">
        <x:v>S48</x:v>
      </x:c>
      <x:c r="B72" s="3" t="str">
        <x:v>音效</x:v>
      </x:c>
      <x:c r="C72" s="3" t="str">
        <x:v>水痕影成型突刺</x:v>
      </x:c>
      <x:c r="D72" s="3" t="str">
        <x:v>阶段三</x:v>
      </x:c>
      <x:c r="E72" s="3" t="str">
        <x:v>环境目标成型或突刺</x:v>
      </x:c>
      <x:c r="F72" s="3" t="str">
        <x:v>事件结束即结束。重复动作需变体或限频。</x:v>
      </x:c>
      <x:c r="G72" s="3" t="str">
        <x:v>关卡条件</x:v>
      </x:c>
      <x:c r="H72" s="14" t="n">
        <x:v>1</x:v>
      </x:c>
      <x:c r="I72" s="15" t="str">
        <x:v>否</x:v>
      </x:c>
      <x:c r="J72" s="15" t="str">
        <x:v>待确认</x:v>
      </x:c>
      <x:c r="K72" s="3" t="str">
        <x:v>声音表现为本次建议，动作来自对应流程。</x:v>
      </x:c>
    </x:row>
    <x:row r="73" ht="65" customHeight="1">
      <x:c r="A73" s="7" t="str">
        <x:v>S49</x:v>
      </x:c>
      <x:c r="B73" s="7" t="str">
        <x:v>音效</x:v>
      </x:c>
      <x:c r="C73" s="7" t="str">
        <x:v>拾骨篮取得</x:v>
      </x:c>
      <x:c r="D73" s="7" t="str">
        <x:v>阶段三</x:v>
      </x:c>
      <x:c r="E73" s="7" t="str">
        <x:v>拿走篮子并触发追逐</x:v>
      </x:c>
      <x:c r="F73" s="7" t="str">
        <x:v>事件结束即结束。重复动作需变体或限频。</x:v>
      </x:c>
      <x:c r="G73" s="7" t="str">
        <x:v>关卡条件</x:v>
      </x:c>
      <x:c r="H73" s="14" t="n">
        <x:v>1</x:v>
      </x:c>
      <x:c r="I73" s="15" t="str">
        <x:v>否</x:v>
      </x:c>
      <x:c r="J73" s="15" t="str">
        <x:v>待确认</x:v>
      </x:c>
      <x:c r="K73" s="7" t="str">
        <x:v>声音表现为本次建议，动作来自对应流程。</x:v>
      </x:c>
    </x:row>
    <x:row r="74" ht="65" customHeight="1">
      <x:c r="A74" s="3" t="str">
        <x:v>S50</x:v>
      </x:c>
      <x:c r="B74" s="3" t="str">
        <x:v>音效</x:v>
      </x:c>
      <x:c r="C74" s="3" t="str">
        <x:v>接碗领受</x:v>
      </x:c>
      <x:c r="D74" s="3" t="str">
        <x:v>阶段六</x:v>
      </x:c>
      <x:c r="E74" s="3" t="str">
        <x:v>碗被递交或领受福肉</x:v>
      </x:c>
      <x:c r="F74" s="3" t="str">
        <x:v>事件结束即结束。重复动作需变体或限频。</x:v>
      </x:c>
      <x:c r="G74" s="3" t="str">
        <x:v>关卡条件</x:v>
      </x:c>
      <x:c r="H74" s="14" t="n">
        <x:v>1</x:v>
      </x:c>
      <x:c r="I74" s="15" t="str">
        <x:v>否</x:v>
      </x:c>
      <x:c r="J74" s="15" t="str">
        <x:v>待确认</x:v>
      </x:c>
      <x:c r="K74" s="3" t="str">
        <x:v>声音表现为本次建议，动作来自对应流程。</x:v>
      </x:c>
    </x:row>
    <x:row r="75" ht="65" customHeight="1">
      <x:c r="A75" s="7" t="str">
        <x:v>S51</x:v>
      </x:c>
      <x:c r="B75" s="7" t="str">
        <x:v>音效</x:v>
      </x:c>
      <x:c r="C75" s="7" t="str">
        <x:v>供桌仪式动作</x:v>
      </x:c>
      <x:c r="D75" s="7" t="str">
        <x:v>阶段六</x:v>
      </x:c>
      <x:c r="E75" s="7" t="str">
        <x:v>放置或转换仪式物</x:v>
      </x:c>
      <x:c r="F75" s="7" t="str">
        <x:v>事件结束即结束。重复动作需变体或限频。</x:v>
      </x:c>
      <x:c r="G75" s="7" t="str">
        <x:v>关卡条件</x:v>
      </x:c>
      <x:c r="H75" s="14" t="n">
        <x:v>1</x:v>
      </x:c>
      <x:c r="I75" s="15" t="str">
        <x:v>否</x:v>
      </x:c>
      <x:c r="J75" s="15" t="str">
        <x:v>待确认</x:v>
      </x:c>
      <x:c r="K75" s="7" t="str">
        <x:v>声音表现为本次建议，动作来自对应流程。</x:v>
      </x:c>
    </x:row>
    <x:row r="76" ht="65" customHeight="1">
      <x:c r="A76" s="3" t="str">
        <x:v>S52</x:v>
      </x:c>
      <x:c r="B76" s="3" t="str">
        <x:v>音效</x:v>
      </x:c>
      <x:c r="C76" s="3" t="str">
        <x:v>特定信众被消耗</x:v>
      </x:c>
      <x:c r="D76" s="3" t="str">
        <x:v>阶段六</x:v>
      </x:c>
      <x:c r="E76" s="3" t="str">
        <x:v>信众被仪式消耗</x:v>
      </x:c>
      <x:c r="F76" s="3" t="str">
        <x:v>事件结束即结束。重复动作需变体或限频。</x:v>
      </x:c>
      <x:c r="G76" s="3" t="str">
        <x:v>关卡条件</x:v>
      </x:c>
      <x:c r="H76" s="14" t="n">
        <x:v>1</x:v>
      </x:c>
      <x:c r="I76" s="15" t="str">
        <x:v>否</x:v>
      </x:c>
      <x:c r="J76" s="15" t="str">
        <x:v>待确认</x:v>
      </x:c>
      <x:c r="K76" s="3" t="str">
        <x:v>声音力度与表现尺度待关卡演出确认。</x:v>
      </x:c>
    </x:row>
    <x:row r="77" ht="65" customHeight="1">
      <x:c r="A77" s="7" t="str">
        <x:v>S53</x:v>
      </x:c>
      <x:c r="B77" s="7" t="str">
        <x:v>音效</x:v>
      </x:c>
      <x:c r="C77" s="7" t="str">
        <x:v>龙族揭露</x:v>
      </x:c>
      <x:c r="D77" s="7" t="str">
        <x:v>阶段九</x:v>
      </x:c>
      <x:c r="E77" s="7" t="str">
        <x:v>周期揭露身份生效</x:v>
      </x:c>
      <x:c r="F77" s="7" t="str">
        <x:v>事件结束即结束。重复动作需变体或限频。</x:v>
      </x:c>
      <x:c r="G77" s="7" t="str">
        <x:v>关卡条件</x:v>
      </x:c>
      <x:c r="H77" s="14" t="n">
        <x:v>1</x:v>
      </x:c>
      <x:c r="I77" s="15" t="str">
        <x:v>否</x:v>
      </x:c>
      <x:c r="J77" s="15" t="str">
        <x:v>待确认</x:v>
      </x:c>
      <x:c r="K77" s="7" t="str">
        <x:v>声音表现为本次建议，动作来自对应流程。</x:v>
      </x:c>
    </x:row>
    <x:row r="78" ht="65" customHeight="1">
      <x:c r="A78" s="3" t="str">
        <x:v>S54</x:v>
      </x:c>
      <x:c r="B78" s="3" t="str">
        <x:v>音效</x:v>
      </x:c>
      <x:c r="C78" s="3" t="str">
        <x:v>幻象破除</x:v>
      </x:c>
      <x:c r="D78" s="3" t="str">
        <x:v>阶段九</x:v>
      </x:c>
      <x:c r="E78" s="3" t="str">
        <x:v>房间幻象真正消失</x:v>
      </x:c>
      <x:c r="F78" s="3" t="str">
        <x:v>事件结束即结束。重复动作需变体或限频。</x:v>
      </x:c>
      <x:c r="G78" s="3" t="str">
        <x:v>关卡条件</x:v>
      </x:c>
      <x:c r="H78" s="14" t="n">
        <x:v>1</x:v>
      </x:c>
      <x:c r="I78" s="15" t="str">
        <x:v>否</x:v>
      </x:c>
      <x:c r="J78" s="15" t="str">
        <x:v>待确认</x:v>
      </x:c>
      <x:c r="K78" s="3" t="str">
        <x:v>声音表现为本次建议，动作来自对应流程。</x:v>
      </x:c>
    </x:row>
    <x:row r="79" ht="65" customHeight="1">
      <x:c r="A79" s="7" t="str">
        <x:v>S55</x:v>
      </x:c>
      <x:c r="B79" s="7" t="str">
        <x:v>音效</x:v>
      </x:c>
      <x:c r="C79" s="7" t="str">
        <x:v>雷霆攻击</x:v>
      </x:c>
      <x:c r="D79" s="7" t="str">
        <x:v>阶段九钱塘君龙形</x:v>
      </x:c>
      <x:c r="E79" s="7" t="str">
        <x:v>雷击释放或命中</x:v>
      </x:c>
      <x:c r="F79" s="7" t="str">
        <x:v>事件结束即结束。重复动作需变体或限频。</x:v>
      </x:c>
      <x:c r="G79" s="7" t="str">
        <x:v>关卡条件</x:v>
      </x:c>
      <x:c r="H79" s="14" t="n">
        <x:v>1</x:v>
      </x:c>
      <x:c r="I79" s="15" t="str">
        <x:v>否</x:v>
      </x:c>
      <x:c r="J79" s="15" t="str">
        <x:v>待确认</x:v>
      </x:c>
      <x:c r="K79" s="7" t="str">
        <x:v>声音表现为本次建议，动作来自对应流程。</x:v>
      </x:c>
    </x:row>
    <x:row r="80" ht="65" customHeight="1">
      <x:c r="A80" s="3" t="str">
        <x:v>S56</x:v>
      </x:c>
      <x:c r="B80" s="3" t="str">
        <x:v>音效</x:v>
      </x:c>
      <x:c r="C80" s="3" t="str">
        <x:v>冰雹攻击</x:v>
      </x:c>
      <x:c r="D80" s="3" t="str">
        <x:v>阶段九钱塘君龙形</x:v>
      </x:c>
      <x:c r="E80" s="3" t="str">
        <x:v>冰雹命中</x:v>
      </x:c>
      <x:c r="F80" s="3" t="str">
        <x:v>事件结束即结束。重复动作需变体或限频。</x:v>
      </x:c>
      <x:c r="G80" s="3" t="str">
        <x:v>关卡条件</x:v>
      </x:c>
      <x:c r="H80" s="14" t="n">
        <x:v>1</x:v>
      </x:c>
      <x:c r="I80" s="15" t="str">
        <x:v>否</x:v>
      </x:c>
      <x:c r="J80" s="15" t="str">
        <x:v>待确认</x:v>
      </x:c>
      <x:c r="K80" s="3" t="str">
        <x:v>声音表现为本次建议，动作来自对应流程。</x:v>
      </x:c>
    </x:row>
    <x:row r="81" ht="65" customHeight="1">
      <x:c r="A81" s="7" t="str">
        <x:v>S57</x:v>
      </x:c>
      <x:c r="B81" s="7" t="str">
        <x:v>音效</x:v>
      </x:c>
      <x:c r="C81" s="7" t="str">
        <x:v>龙爪攻击</x:v>
      </x:c>
      <x:c r="D81" s="7" t="str">
        <x:v>阶段九钱塘君龙形</x:v>
      </x:c>
      <x:c r="E81" s="7" t="str">
        <x:v>龙爪击出</x:v>
      </x:c>
      <x:c r="F81" s="7" t="str">
        <x:v>事件结束即结束。重复动作需变体或限频。</x:v>
      </x:c>
      <x:c r="G81" s="7" t="str">
        <x:v>关卡条件</x:v>
      </x:c>
      <x:c r="H81" s="14" t="n">
        <x:v>1</x:v>
      </x:c>
      <x:c r="I81" s="15" t="str">
        <x:v>否</x:v>
      </x:c>
      <x:c r="J81" s="15" t="str">
        <x:v>待确认</x:v>
      </x:c>
      <x:c r="K81" s="7" t="str">
        <x:v>声音表现为本次建议，动作来自对应流程。</x:v>
      </x:c>
    </x:row>
    <x:row r="82" ht="65" customHeight="1">
      <x:c r="A82" s="3" t="str">
        <x:v>S58</x:v>
      </x:c>
      <x:c r="B82" s="3" t="str">
        <x:v>音效</x:v>
      </x:c>
      <x:c r="C82" s="3" t="str">
        <x:v>龙咬攻击</x:v>
      </x:c>
      <x:c r="D82" s="3" t="str">
        <x:v>阶段九钱塘君龙形</x:v>
      </x:c>
      <x:c r="E82" s="3" t="str">
        <x:v>咬击击出</x:v>
      </x:c>
      <x:c r="F82" s="3" t="str">
        <x:v>事件结束即结束。重复动作需变体或限频。</x:v>
      </x:c>
      <x:c r="G82" s="3" t="str">
        <x:v>关卡条件</x:v>
      </x:c>
      <x:c r="H82" s="14" t="n">
        <x:v>1</x:v>
      </x:c>
      <x:c r="I82" s="15" t="str">
        <x:v>否</x:v>
      </x:c>
      <x:c r="J82" s="15" t="str">
        <x:v>待确认</x:v>
      </x:c>
      <x:c r="K82" s="3" t="str">
        <x:v>声音表现为本次建议，动作来自对应流程。</x:v>
      </x:c>
    </x:row>
    <x:row r="83" ht="65" customHeight="1">
      <x:c r="A83" s="7" t="str">
        <x:v>S59</x:v>
      </x:c>
      <x:c r="B83" s="7" t="str">
        <x:v>音效</x:v>
      </x:c>
      <x:c r="C83" s="7" t="str">
        <x:v>龙尾攻击</x:v>
      </x:c>
      <x:c r="D83" s="7" t="str">
        <x:v>阶段九钱塘君龙形</x:v>
      </x:c>
      <x:c r="E83" s="7" t="str">
        <x:v>尾击击出</x:v>
      </x:c>
      <x:c r="F83" s="7" t="str">
        <x:v>事件结束即结束。重复动作需变体或限频。</x:v>
      </x:c>
      <x:c r="G83" s="7" t="str">
        <x:v>关卡条件</x:v>
      </x:c>
      <x:c r="H83" s="14" t="n">
        <x:v>1</x:v>
      </x:c>
      <x:c r="I83" s="15" t="str">
        <x:v>否</x:v>
      </x:c>
      <x:c r="J83" s="15" t="str">
        <x:v>待确认</x:v>
      </x:c>
      <x:c r="K83" s="7" t="str">
        <x:v>声音表现为本次建议，动作来自对应流程。</x:v>
      </x:c>
    </x:row>
    <x:row r="84" ht="65" customHeight="1">
      <x:c r="A84" s="3" t="str">
        <x:v>S60</x:v>
      </x:c>
      <x:c r="B84" s="3" t="str">
        <x:v>音效</x:v>
      </x:c>
      <x:c r="C84" s="3" t="str">
        <x:v>镜照识破水族</x:v>
      </x:c>
      <x:c r="D84" s="3" t="str">
        <x:v>阶段九</x:v>
      </x:c>
      <x:c r="E84" s="3" t="str">
        <x:v>随身镜识破并使水族晕眩</x:v>
      </x:c>
      <x:c r="F84" s="3" t="str">
        <x:v>事件结束即结束。重复动作需变体或限频。</x:v>
      </x:c>
      <x:c r="G84" s="3" t="str">
        <x:v>关卡条件</x:v>
      </x:c>
      <x:c r="H84" s="14" t="n">
        <x:v>1</x:v>
      </x:c>
      <x:c r="I84" s="15" t="str">
        <x:v>否</x:v>
      </x:c>
      <x:c r="J84" s="15" t="str">
        <x:v>待确认</x:v>
      </x:c>
      <x:c r="K84" s="3" t="str">
        <x:v>仅此关原文玩法，不能据此把旧版Mirror全套计入。</x:v>
      </x:c>
    </x:row>
    <x:row r="85" ht="65" customHeight="1">
      <x:c r="A85" s="7" t="str">
        <x:v>J01</x:v>
      </x:c>
      <x:c r="B85" s="7" t="str">
        <x:v>短乐句</x:v>
      </x:c>
      <x:c r="C85" s="7" t="str">
        <x:v>战斗胜利</x:v>
      </x:c>
      <x:c r="D85" s="7" t="str">
        <x:v>所有BOSS战</x:v>
      </x:c>
      <x:c r="E85" s="7" t="str">
        <x:v>确认胜利结果</x:v>
      </x:c>
      <x:c r="F85" s="7" t="str">
        <x:v>播一次后恢复地区音乐。</x:v>
      </x:c>
      <x:c r="G85" s="7" t="str">
        <x:v>基础</x:v>
      </x:c>
      <x:c r="H85" s="14" t="n">
        <x:v>1</x:v>
      </x:c>
      <x:c r="I85" s="15" t="str">
        <x:v>是</x:v>
      </x:c>
      <x:c r="J85" s="15" t="str">
        <x:v>待确认</x:v>
      </x:c>
      <x:c r="K85" s="7" t="str">
        <x:v>建议1至3秒，不循环。和任务完成提示错开。</x:v>
      </x:c>
    </x:row>
    <x:row r="86" ht="65" customHeight="1">
      <x:c r="A86" s="3" t="str">
        <x:v>J02</x:v>
      </x:c>
      <x:c r="B86" s="3" t="str">
        <x:v>短乐句</x:v>
      </x:c>
      <x:c r="C86" s="3" t="str">
        <x:v>失败与重试</x:v>
      </x:c>
      <x:c r="D86" s="3" t="str">
        <x:v>死亡或BOSS失败</x:v>
      </x:c>
      <x:c r="E86" s="3" t="str">
        <x:v>确认失败并显示恢复入口</x:v>
      </x:c>
      <x:c r="F86" s="3" t="str">
        <x:v>播一次，不持续铺满失败界面。</x:v>
      </x:c>
      <x:c r="G86" s="3" t="str">
        <x:v>基础</x:v>
      </x:c>
      <x:c r="H86" s="14" t="n">
        <x:v>1</x:v>
      </x:c>
      <x:c r="I86" s="15" t="str">
        <x:v>是</x:v>
      </x:c>
      <x:c r="J86" s="15" t="str">
        <x:v>待确认</x:v>
      </x:c>
      <x:c r="K86" s="3" t="str">
        <x:v>建议1至3秒，不循环。</x:v>
      </x:c>
    </x:row>
    <x:row r="87" ht="65" customHeight="1">
      <x:c r="A87" s="7" t="str">
        <x:v>J03</x:v>
      </x:c>
      <x:c r="B87" s="7" t="str">
        <x:v>短乐句</x:v>
      </x:c>
      <x:c r="C87" s="7" t="str">
        <x:v>关键线索发现</x:v>
      </x:c>
      <x:c r="D87" s="7" t="str">
        <x:v>调查节点与白盒线索</x:v>
      </x:c>
      <x:c r="E87" s="7" t="str">
        <x:v>重要线索被确认</x:v>
      </x:c>
      <x:c r="F87" s="7" t="str">
        <x:v>播一次，普通拾取不用。</x:v>
      </x:c>
      <x:c r="G87" s="7" t="str">
        <x:v>基础</x:v>
      </x:c>
      <x:c r="H87" s="14" t="n">
        <x:v>1</x:v>
      </x:c>
      <x:c r="I87" s="15" t="str">
        <x:v>是</x:v>
      </x:c>
      <x:c r="J87" s="15" t="str">
        <x:v>待确认</x:v>
      </x:c>
      <x:c r="K87" s="7" t="str">
        <x:v>建议1至3秒，不循环。</x:v>
      </x:c>
    </x:row>
    <x:row r="88" ht="65" customHeight="1">
      <x:c r="A88" s="3" t="str">
        <x:v>J04</x:v>
      </x:c>
      <x:c r="B88" s="3" t="str">
        <x:v>短乐句</x:v>
      </x:c>
      <x:c r="C88" s="3" t="str">
        <x:v>阶段收束</x:v>
      </x:c>
      <x:c r="D88" s="3" t="str">
        <x:v>交付、阶段完成、结案</x:v>
      </x:c>
      <x:c r="E88" s="3" t="str">
        <x:v>阶段完成确认</x:v>
      </x:c>
      <x:c r="F88" s="3" t="str">
        <x:v>播一次，之后回主题或地区曲。</x:v>
      </x:c>
      <x:c r="G88" s="3" t="str">
        <x:v>基础</x:v>
      </x:c>
      <x:c r="H88" s="14" t="n">
        <x:v>1</x:v>
      </x:c>
      <x:c r="I88" s="15" t="str">
        <x:v>是</x:v>
      </x:c>
      <x:c r="J88" s="15" t="str">
        <x:v>待确认</x:v>
      </x:c>
      <x:c r="K88" s="3" t="str">
        <x:v>建议1至3秒，不循环。两界转场复用S13、S14。</x:v>
      </x:c>
    </x:row>
    <x:row r="89" ht="65" customHeight="1">
      <x:c r="A89" s="7" t="str">
        <x:v>P01</x:v>
      </x:c>
      <x:c r="B89" s="7" t="str">
        <x:v>玩法音乐</x:v>
      </x:c>
      <x:c r="C89" s="7" t="str">
        <x:v>戏班音乐解谜段</x:v>
      </x:c>
      <x:c r="D89" s="7" t="str">
        <x:v>阶段一戏班</x:v>
      </x:c>
      <x:c r="E89" s="7" t="str">
        <x:v>指定身份进入音乐玩法</x:v>
      </x:c>
      <x:c r="F89" s="7" t="str">
        <x:v>玩法完成或取消立即结束并恢复地区音乐。</x:v>
      </x:c>
      <x:c r="G89" s="7" t="str">
        <x:v>条件</x:v>
      </x:c>
      <x:c r="H89" s="14" t="n">
        <x:v>1</x:v>
      </x:c>
      <x:c r="I89" s="15" t="str">
        <x:v>否</x:v>
      </x:c>
      <x:c r="J89" s="15" t="str">
        <x:v>待确认</x:v>
      </x:c>
      <x:c r="K89" s="7" t="str">
        <x:v>光点版和原五轨版未统一。先预留1段玩法音乐，节拍、长度与同步方式须随玩法锁定。已有三首四轨测试歌曲不计新BGM报价。</x:v>
      </x:c>
    </x:row>
  </x:sheetData>
  <x:dataValidations count="2">
    <x:dataValidation type="list" sqref="I5:I89">
      <x:formula1>"是,否"</x:formula1>
    </x:dataValidation>
    <x:dataValidation type="list" sqref="J5:J89">
      <x:formula1>"待确认,采纳,暂缓"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531571976442cb"/>
  </x:tableParts>
</x:worksheet>
</file>