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a409ed27d84d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分级总览" sheetId="1" r:id="R9186796e298541a8"/>
    <x:sheet xmlns:r="http://schemas.openxmlformats.org/officeDocument/2006/relationships" name="音效清单" sheetId="2" r:id="R2a5747aae26b4d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13">
    <x:font>
      <x:sz val="11"/>
      <x:name val="Carlito"/>
    </x:font>
    <x:font>
      <x:sz val="10.5"/>
      <x:color rgb="FF263348"/>
      <x:name val="Microsoft YaHei"/>
    </x:font>
    <x:font>
      <x:b/>
      <x:sz val="16"/>
      <x:color rgb="FF263348"/>
      <x:name val="Microsoft YaHei"/>
    </x:font>
    <x:font>
      <x:sz val="10.5"/>
      <x:color rgb="FF627087"/>
      <x:name val="Microsoft YaHei"/>
    </x:font>
    <x:font>
      <x:b/>
      <x:sz val="10.5"/>
      <x:color rgb="FFFFFFFF"/>
      <x:name val="Microsoft YaHei"/>
    </x:font>
    <x:font>
      <x:b/>
      <x:sz val="10.5"/>
      <x:color rgb="FF263348"/>
      <x:name val="Microsoft YaHei"/>
    </x:font>
    <x:font>
      <x:b/>
      <x:sz val="10.5"/>
      <x:color rgb="FFA43E2D"/>
      <x:name val="Microsoft YaHei"/>
    </x:font>
    <x:font>
      <x:b/>
      <x:sz val="10.5"/>
      <x:color rgb="FF235483"/>
      <x:name val="Microsoft YaHei"/>
    </x:font>
    <x:font>
      <x:b/>
      <x:sz val="10.5"/>
      <x:color rgb="FF62447C"/>
      <x:name val="Microsoft YaHei"/>
    </x:font>
    <x:font>
      <x:b/>
      <x:sz val="10.5"/>
      <x:color rgb="FF687385"/>
      <x:name val="Microsoft YaHei"/>
    </x:font>
    <x:font>
      <x:b/>
      <x:sz val="10.5"/>
      <x:color rgb="FF526981"/>
      <x:name val="Microsoft YaHei"/>
    </x:font>
    <x:font>
      <x:b/>
      <x:sz val="14"/>
      <x:color rgb="FF263348"/>
      <x:name val="Microsoft YaHei"/>
    </x:font>
    <x:font>
      <x:b/>
      <x:sz val="10.5"/>
      <x:color rgb="FF29364B"/>
      <x:name val="Microsoft YaHei"/>
    </x:font>
  </x:fonts>
  <x:fills count="10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6F8FA"/>
      </x:patternFill>
    </x:fill>
    <x:fill>
      <x:patternFill patternType="solid">
        <x:fgColor rgb="FF29364B"/>
      </x:patternFill>
    </x:fill>
    <x:fill>
      <x:patternFill patternType="solid">
        <x:fgColor rgb="FFE8EDF3"/>
      </x:patternFill>
    </x:fill>
    <x:fill>
      <x:patternFill patternType="solid">
        <x:fgColor rgb="FFFBE4DF"/>
      </x:patternFill>
    </x:fill>
    <x:fill>
      <x:patternFill patternType="solid">
        <x:fgColor rgb="FFE4EEF8"/>
      </x:patternFill>
    </x:fill>
    <x:fill>
      <x:patternFill patternType="solid">
        <x:fgColor rgb="FFECE7F4"/>
      </x:patternFill>
    </x:fill>
    <x:fill>
      <x:patternFill patternType="solid">
        <x:fgColor rgb="FFEEF0F3"/>
      </x:patternFill>
    </x:fill>
  </x:fills>
  <x:borders count="6">
    <x:border>
      <x:left/>
      <x:right/>
      <x:top/>
      <x:bottom/>
      <x:diagonal/>
    </x:border>
    <x:border>
      <x:left/>
      <x:right/>
      <x:top/>
      <x:bottom style="thin">
        <x:color rgb="FF9CAEC1"/>
      </x:bottom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>
      <x:left/>
      <x:right/>
      <x:top style="thin">
        <x:color rgb="FF9CAEC1"/>
      </x:top>
      <x:bottom/>
      <x:diagonal/>
    </x:border>
  </x:borders>
  <x:cellStyleXfs count="1">
    <x:xf numFmtId="0" fontId="0" fillId="0" borderId="0"/>
  </x:cellStyleXfs>
  <x:cellXfs count="4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2" xfId="0" applyNumberFormat="1" applyFont="1" applyFill="1" applyBorder="1" applyAlignment="1">
      <x:alignment vertical="center"/>
    </x:xf>
    <x:xf numFmtId="0" fontId="4" fillId="4" borderId="3" xfId="0" applyNumberFormat="1" applyFont="1" applyFill="1" applyBorder="1" applyAlignment="1">
      <x:alignment vertical="center"/>
    </x:xf>
    <x:xf numFmtId="0" fontId="4" fillId="4" borderId="4" xfId="0" applyNumberFormat="1" applyFont="1" applyFill="1" applyBorder="1" applyAlignment="1">
      <x:alignment vertical="center"/>
    </x:xf>
    <x:xf numFmtId="0" fontId="4" fillId="4" borderId="2" xfId="0" applyNumberFormat="1" applyFont="1" applyFill="1" applyBorder="1" applyAlignment="1">
      <x:alignment vertical="center" wrapText="1"/>
    </x:xf>
    <x:xf numFmtId="0" fontId="4" fillId="4" borderId="3" xfId="0" applyNumberFormat="1" applyFont="1" applyFill="1" applyBorder="1" applyAlignment="1">
      <x:alignment vertical="center" wrapText="1"/>
    </x:xf>
    <x:xf numFmtId="0" fontId="4" fillId="4" borderId="4" xfId="0" applyNumberFormat="1" applyFont="1" applyFill="1" applyBorder="1" applyAlignment="1">
      <x:alignment vertical="center" wrapText="1"/>
    </x:xf>
    <x:xf numFmtId="0" fontId="4" fillId="4" borderId="2" xfId="0" applyNumberFormat="1" applyFont="1" applyFill="1" applyBorder="1" applyAlignment="1">
      <x:alignment horizontal="center" vertical="center" wrapText="1"/>
    </x:xf>
    <x:xf numFmtId="0" fontId="4" fillId="4" borderId="3" xfId="0" applyNumberFormat="1" applyFont="1" applyFill="1" applyBorder="1" applyAlignment="1">
      <x:alignment horizontal="center" vertical="center" wrapText="1"/>
    </x:xf>
    <x:xf numFmtId="0" fontId="4" fillId="4" borderId="4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/>
    </x:xf>
    <x:xf numFmtId="0" fontId="5" fillId="5" borderId="5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5" fillId="5" borderId="5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1" fontId="5" fillId="5" borderId="5" xfId="0" applyNumberFormat="1" applyFont="1" applyFill="1" applyBorder="1" applyAlignment="1">
      <x:alignment horizontal="right" vertical="center"/>
    </x:xf>
    <x:xf numFmtId="0" fontId="1" fillId="6" borderId="0" xfId="0" applyNumberFormat="1" applyFont="1" applyFill="1" applyBorder="1" applyAlignment="1">
      <x:alignment horizontal="center" vertical="center" wrapText="1"/>
    </x:xf>
    <x:xf numFmtId="0" fontId="6" fillId="6" borderId="0" xfId="0" applyNumberFormat="1" applyFont="1" applyFill="1" applyBorder="1" applyAlignment="1">
      <x:alignment horizontal="center" vertical="center" wrapText="1"/>
    </x:xf>
    <x:xf numFmtId="0" fontId="1" fillId="7" borderId="0" xfId="0" applyNumberFormat="1" applyFont="1" applyFill="1" applyBorder="1" applyAlignment="1">
      <x:alignment horizontal="center" vertical="center" wrapText="1"/>
    </x:xf>
    <x:xf numFmtId="0" fontId="7" fillId="7" borderId="0" xfId="0" applyNumberFormat="1" applyFont="1" applyFill="1" applyBorder="1" applyAlignment="1">
      <x:alignment horizontal="center" vertical="center" wrapText="1"/>
    </x:xf>
    <x:xf numFmtId="0" fontId="1" fillId="8" borderId="0" xfId="0" applyNumberFormat="1" applyFont="1" applyFill="1" applyBorder="1" applyAlignment="1">
      <x:alignment horizontal="center" vertical="center" wrapText="1"/>
    </x:xf>
    <x:xf numFmtId="0" fontId="8" fillId="8" borderId="0" xfId="0" applyNumberFormat="1" applyFont="1" applyFill="1" applyBorder="1" applyAlignment="1">
      <x:alignment horizontal="center" vertical="center" wrapText="1"/>
    </x:xf>
    <x:xf numFmtId="0" fontId="1" fillId="9" borderId="0" xfId="0" applyNumberFormat="1" applyFont="1" applyFill="1" applyBorder="1" applyAlignment="1">
      <x:alignment horizontal="center" vertical="center" wrapText="1"/>
    </x:xf>
    <x:xf numFmtId="0" fontId="9" fillId="9" borderId="0" xfId="0" applyNumberFormat="1" applyFont="1" applyFill="1" applyBorder="1" applyAlignment="1">
      <x:alignment horizontal="center" vertical="center" wrapText="1"/>
    </x:xf>
    <x:xf numFmtId="0" fontId="10" fillId="0" borderId="0" xfId="0" applyNumberFormat="1" applyFont="1" applyFill="1" applyBorder="1" applyAlignment="1">
      <x:alignment vertical="center" wrapText="1"/>
    </x:xf>
    <x:xf numFmtId="0" fontId="1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12" fillId="0" borderId="0" xfId="0" applyNumberFormat="1" applyFont="1" applyFill="1" applyBorder="1" applyAlignment="1">
      <x:alignment vertical="center"/>
    </x:xf>
    <x:xf numFmtId="201" fontId="12" fillId="0" borderId="0" xfId="0" applyNumberFormat="1" applyFont="1" applyFill="1" applyBorder="1" applyAlignment="1">
      <x:alignment vertical="center"/>
    </x:xf>
    <x:xf numFmtId="201" fontId="12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4">
    <x:dxf>
      <x:font>
        <x:color rgb="FFA43E2D"/>
      </x:font>
      <x:fill>
        <x:patternFill patternType="solid">
          <x:bgColor rgb="FFFBE4DF"/>
        </x:patternFill>
      </x:fill>
    </x:dxf>
    <x:dxf>
      <x:font>
        <x:color rgb="FF235483"/>
      </x:font>
      <x:fill>
        <x:patternFill patternType="solid">
          <x:bgColor rgb="FFE4EEF8"/>
        </x:patternFill>
      </x:fill>
    </x:dxf>
    <x:dxf>
      <x:font>
        <x:color rgb="FF62447C"/>
      </x:font>
      <x:fill>
        <x:patternFill patternType="solid">
          <x:bgColor rgb="FFECE7F4"/>
        </x:patternFill>
      </x:fill>
    </x:dxf>
    <x:dxf>
      <x:font>
        <x:color rgb="FF687385"/>
      </x:font>
      <x:fill>
        <x:patternFill patternType="solid">
          <x:bgColor rgb="FFEEF0F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7a98c3ee5a49a0" /><Relationship Type="http://schemas.openxmlformats.org/officeDocument/2006/relationships/theme" Target="/xl/theme/theme1.xml" Id="Rbb633544662d4385" /><Relationship Type="http://schemas.openxmlformats.org/officeDocument/2006/relationships/sharedStrings" Target="/xl/sharedStrings.xml" Id="R4fa1fe508a8a415f" /><Relationship Type="http://schemas.openxmlformats.org/officeDocument/2006/relationships/worksheet" Target="/xl/worksheets/sheet1.xml" Id="R9186796e298541a8" /><Relationship Type="http://schemas.openxmlformats.org/officeDocument/2006/relationships/worksheet" Target="/xl/worksheets/sheet2.xml" Id="R2a5747aae26b4d18" /></Relationships>
</file>

<file path=xl/tables/table1.xml><?xml version="1.0" encoding="utf-8"?>
<x:table xmlns:x="http://schemas.openxmlformats.org/spreadsheetml/2006/main" id="1" name="AudioRequirements" displayName="AudioRequirements" ref="A6:J130" headerRowCount="1" totalsRowCount="0" totalsRowShown="0">
  <x:autoFilter ref="A6:J130"/>
  <x:tableColumns count="10">
    <x:tableColumn id="1" name="优先级"/>
    <x:tableColumn id="2" name="需求编号"/>
    <x:tableColumn id="3" name="分类"/>
    <x:tableColumn id="4" name="音效名称"/>
    <x:tableColumn id="5" name="实际应用场景"/>
    <x:tableColumn id="6" name="触发条件"/>
    <x:tableColumn id="7" name="分级理由"/>
    <x:tableColumn id="8" name="制作规格建议"/>
    <x:tableColumn id="9" name="排期与依赖"/>
    <x:tableColumn id="10" name="依据ID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0c4aa0a694a457c" /></Relationships>
</file>

<file path=xl/worksheets/sheet1.xml><?xml version="1.0" encoding="utf-8"?>
<x:worksheet xmlns:x="http://schemas.openxmlformats.org/spreadsheetml/2006/main">
  <x:sheetPr>
    <x:tabColor rgb="FF29364B"/>
  </x:sheetPr>
  <x:sheetViews>
    <x:sheetView showGridLines="0" workbookViewId="0"/>
  </x:sheetViews>
  <x:sheetFormatPr defaultRowHeight="15"/>
  <x:cols>
    <x:col min="1" max="1" width="16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2" hidden="0" customWidth="1"/>
    <x:col min="7" max="7" width="3" hidden="0" customWidth="1"/>
    <x:col min="8" max="8" width="10" hidden="0" customWidth="1"/>
    <x:col min="9" max="9" width="51" hidden="0" customWidth="1"/>
    <x:col min="10" max="10" width="41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30" customHeight="1">
      <x:c r="A2" s="4" t="str">
        <x:v>聚光灯音效需求分级</x:v>
      </x:c>
      <x:c r="B2" s="5"/>
      <x:c r="C2" s="5"/>
      <x:c r="D2" s="5"/>
      <x:c r="E2" s="5"/>
      <x:c r="F2" s="5"/>
      <x:c r="G2" s="5"/>
      <x:c r="H2" s="5"/>
      <x:c r="I2" s="5"/>
      <x:c r="J2" s="5"/>
    </x:row>
    <x:row r="3">
      <x:c r="A3" s="6" t="str">
        <x:v>制作范围：序章＋阶段一</x:v>
      </x:c>
      <x:c r="B3" s="2"/>
      <x:c r="C3" s="2"/>
      <x:c r="D3" s="2"/>
      <x:c r="E3" s="2"/>
      <x:c r="F3" s="2"/>
      <x:c r="G3" s="2"/>
      <x:c r="H3" s="2"/>
      <x:c r="I3" s="2" t="str">
        <x:v>需求基线日期</x:v>
      </x:c>
      <x:c r="J3" s="25" t="d">
        <x:v>2026-10-12T00:00:00.000Z</x:v>
      </x:c>
    </x:row>
    <x:row r="4" ht="28" customHeight="1">
      <x:c r="A4" s="45" t="str">
        <x:v>需求总数</x:v>
      </x:c>
      <x:c r="B4" s="47" t="n">
        <x:f>F16</x:f>
        <x:v>124</x:v>
      </x:c>
      <x:c r="C4" s="45" t="str">
        <x:v>T0必做</x:v>
      </x:c>
      <x:c r="D4" s="47" t="n">
        <x:f>B16</x:f>
        <x:v>19</x:v>
      </x:c>
      <x:c r="E4" s="45" t="str">
        <x:v>T0至T2</x:v>
      </x:c>
      <x:c r="F4" s="47" t="n">
        <x:f>SUM(B16:D16)</x:f>
        <x:v>81</x:v>
      </x:c>
      <x:c r="G4" s="2"/>
      <x:c r="H4" s="2"/>
      <x:c r="I4" s="2"/>
      <x:c r="J4" s="2"/>
    </x:row>
    <x:row r="5" ht="28" customHeight="1">
      <x:c r="A5" s="22" t="str">
        <x:v>音效分类</x:v>
      </x:c>
      <x:c r="B5" s="23" t="str">
        <x:v>T0</x:v>
      </x:c>
      <x:c r="C5" s="23" t="str">
        <x:v>T1</x:v>
      </x:c>
      <x:c r="D5" s="23" t="str">
        <x:v>T2</x:v>
      </x:c>
      <x:c r="E5" s="23" t="str">
        <x:v>T3</x:v>
      </x:c>
      <x:c r="F5" s="24" t="str">
        <x:v>合计</x:v>
      </x:c>
      <x:c r="G5" s="2"/>
      <x:c r="H5" s="22" t="str">
        <x:v>分级</x:v>
      </x:c>
      <x:c r="I5" s="23" t="str">
        <x:v>定义</x:v>
      </x:c>
      <x:c r="J5" s="24" t="str">
        <x:v>21天安排</x:v>
      </x:c>
    </x:row>
    <x:row r="6" ht="58" customHeight="1">
      <x:c r="A6" s="2" t="str">
        <x:v>UI</x:v>
      </x:c>
      <x:c r="B6" s="31" t="n">
        <x:f>COUNTIFS('音效清单'!$A$7:$A$130,B$5,'音效清单'!$C$7:$C$130,$A6)</x:f>
        <x:v>0</x:v>
      </x:c>
      <x:c r="C6" s="31" t="n">
        <x:f>COUNTIFS('音效清单'!$A$7:$A$130,C$5,'音效清单'!$C$7:$C$130,$A6)</x:f>
        <x:v>9</x:v>
      </x:c>
      <x:c r="D6" s="31" t="n">
        <x:f>COUNTIFS('音效清单'!$A$7:$A$130,D$5,'音效清单'!$C$7:$C$130,$A6)</x:f>
        <x:v>4</x:v>
      </x:c>
      <x:c r="E6" s="31" t="n">
        <x:f>COUNTIFS('音效清单'!$A$7:$A$130,E$5,'音效清单'!$C$7:$C$130,$A6)</x:f>
        <x:v>0</x:v>
      </x:c>
      <x:c r="F6" s="31" t="n">
        <x:f>SUM(B6:E6)</x:f>
        <x:v>13</x:v>
      </x:c>
      <x:c r="G6" s="2"/>
      <x:c r="H6" s="34" t="str">
        <x:v>T0</x:v>
      </x:c>
      <x:c r="I6" s="7" t="str">
        <x:v>必须完成。保证玩家体验下限，缺失后会损伤游玩体验。</x:v>
      </x:c>
      <x:c r="J6" s="7" t="str">
        <x:v>优先制作并验证完整游玩流程。</x:v>
      </x:c>
    </x:row>
    <x:row r="7" ht="58" customHeight="1">
      <x:c r="A7" s="2" t="str">
        <x:v>交互</x:v>
      </x:c>
      <x:c r="B7" s="31" t="n">
        <x:f>COUNTIFS('音效清单'!$A$7:$A$130,B$5,'音效清单'!$C$7:$C$130,$A7)</x:f>
        <x:v>2</x:v>
      </x:c>
      <x:c r="C7" s="31" t="n">
        <x:f>COUNTIFS('音效清单'!$A$7:$A$130,C$5,'音效清单'!$C$7:$C$130,$A7)</x:f>
        <x:v>6</x:v>
      </x:c>
      <x:c r="D7" s="31" t="n">
        <x:f>COUNTIFS('音效清单'!$A$7:$A$130,D$5,'音效清单'!$C$7:$C$130,$A7)</x:f>
        <x:v>1</x:v>
      </x:c>
      <x:c r="E7" s="31" t="n">
        <x:f>COUNTIFS('音效清单'!$A$7:$A$130,E$5,'音效清单'!$C$7:$C$130,$A7)</x:f>
        <x:v>2</x:v>
      </x:c>
      <x:c r="F7" s="31" t="n">
        <x:f>SUM(B7:E7)</x:f>
        <x:v>11</x:v>
      </x:c>
      <x:c r="G7" s="2"/>
      <x:c r="H7" s="36" t="str">
        <x:v>T1</x:v>
      </x:c>
      <x:c r="I7" s="7" t="str">
        <x:v>基本音效，优先级没有T0那么高。</x:v>
      </x:c>
      <x:c r="J7" s="7" t="str">
        <x:v>T0完成后补齐，可复用通用素材。</x:v>
      </x:c>
    </x:row>
    <x:row r="8" ht="58" customHeight="1">
      <x:c r="A8" s="2" t="str">
        <x:v>角色</x:v>
      </x:c>
      <x:c r="B8" s="31" t="n">
        <x:f>COUNTIFS('音效清单'!$A$7:$A$130,B$5,'音效清单'!$C$7:$C$130,$A8)</x:f>
        <x:v>0</x:v>
      </x:c>
      <x:c r="C8" s="31" t="n">
        <x:f>COUNTIFS('音效清单'!$A$7:$A$130,C$5,'音效清单'!$C$7:$C$130,$A8)</x:f>
        <x:v>5</x:v>
      </x:c>
      <x:c r="D8" s="31" t="n">
        <x:f>COUNTIFS('音效清单'!$A$7:$A$130,D$5,'音效清单'!$C$7:$C$130,$A8)</x:f>
        <x:v>4</x:v>
      </x:c>
      <x:c r="E8" s="31" t="n">
        <x:f>COUNTIFS('音效清单'!$A$7:$A$130,E$5,'音效清单'!$C$7:$C$130,$A8)</x:f>
        <x:v>2</x:v>
      </x:c>
      <x:c r="F8" s="31" t="n">
        <x:f>SUM(B8:E8)</x:f>
        <x:v>11</x:v>
      </x:c>
      <x:c r="G8" s="2"/>
      <x:c r="H8" s="38" t="str">
        <x:v>T2</x:v>
      </x:c>
      <x:c r="I8" s="7" t="str">
        <x:v>删去后不影响核心体验的音效。</x:v>
      </x:c>
      <x:c r="J8" s="7" t="str">
        <x:v>当前范围内的可删减细节。</x:v>
      </x:c>
    </x:row>
    <x:row r="9" ht="58" customHeight="1">
      <x:c r="A9" s="2" t="str">
        <x:v>潜行</x:v>
      </x:c>
      <x:c r="B9" s="31" t="n">
        <x:f>COUNTIFS('音效清单'!$A$7:$A$130,B$5,'音效清单'!$C$7:$C$130,$A9)</x:f>
        <x:v>3</x:v>
      </x:c>
      <x:c r="C9" s="31" t="n">
        <x:f>COUNTIFS('音效清单'!$A$7:$A$130,C$5,'音效清单'!$C$7:$C$130,$A9)</x:f>
        <x:v>2</x:v>
      </x:c>
      <x:c r="D9" s="31" t="n">
        <x:f>COUNTIFS('音效清单'!$A$7:$A$130,D$5,'音效清单'!$C$7:$C$130,$A9)</x:f>
        <x:v>0</x:v>
      </x:c>
      <x:c r="E9" s="31" t="n">
        <x:f>COUNTIFS('音效清单'!$A$7:$A$130,E$5,'音效清单'!$C$7:$C$130,$A9)</x:f>
        <x:v>3</x:v>
      </x:c>
      <x:c r="F9" s="31" t="n">
        <x:f>SUM(B9:E9)</x:f>
        <x:v>8</x:v>
      </x:c>
      <x:c r="G9" s="2"/>
      <x:c r="H9" s="40" t="str">
        <x:v>T3</x:v>
      </x:c>
      <x:c r="I9" s="7" t="str">
        <x:v>未排进21天制作计划的音效。</x:v>
      </x:c>
      <x:c r="J9" s="7" t="str">
        <x:v>本轮不制作。采用对应玩法后再分级。</x:v>
      </x:c>
    </x:row>
    <x:row r="10" ht="28" customHeight="1">
      <x:c r="A10" s="2" t="str">
        <x:v>身份</x:v>
      </x:c>
      <x:c r="B10" s="31" t="n">
        <x:f>COUNTIFS('音效清单'!$A$7:$A$130,B$5,'音效清单'!$C$7:$C$130,$A10)</x:f>
        <x:v>4</x:v>
      </x:c>
      <x:c r="C10" s="31" t="n">
        <x:f>COUNTIFS('音效清单'!$A$7:$A$130,C$5,'音效清单'!$C$7:$C$130,$A10)</x:f>
        <x:v>0</x:v>
      </x:c>
      <x:c r="D10" s="31" t="n">
        <x:f>COUNTIFS('音效清单'!$A$7:$A$130,D$5,'音效清单'!$C$7:$C$130,$A10)</x:f>
        <x:v>3</x:v>
      </x:c>
      <x:c r="E10" s="31" t="n">
        <x:f>COUNTIFS('音效清单'!$A$7:$A$130,E$5,'音效清单'!$C$7:$C$130,$A10)</x:f>
        <x:v>3</x:v>
      </x:c>
      <x:c r="F10" s="31" t="n">
        <x:f>SUM(B10:E10)</x:f>
        <x:v>10</x:v>
      </x:c>
      <x:c r="G10" s="2"/>
      <x:c r="H10" s="2"/>
      <x:c r="I10" s="2"/>
      <x:c r="J10" s="2"/>
    </x:row>
    <x:row r="11" ht="28" customHeight="1">
      <x:c r="A11" s="2" t="str">
        <x:v>战斗</x:v>
      </x:c>
      <x:c r="B11" s="31" t="n">
        <x:f>COUNTIFS('音效清单'!$A$7:$A$130,B$5,'音效清单'!$C$7:$C$130,$A11)</x:f>
        <x:v>6</x:v>
      </x:c>
      <x:c r="C11" s="31" t="n">
        <x:f>COUNTIFS('音效清单'!$A$7:$A$130,C$5,'音效清单'!$C$7:$C$130,$A11)</x:f>
        <x:v>9</x:v>
      </x:c>
      <x:c r="D11" s="31" t="n">
        <x:f>COUNTIFS('音效清单'!$A$7:$A$130,D$5,'音效清单'!$C$7:$C$130,$A11)</x:f>
        <x:v>1</x:v>
      </x:c>
      <x:c r="E11" s="31" t="n">
        <x:f>COUNTIFS('音效清单'!$A$7:$A$130,E$5,'音效清单'!$C$7:$C$130,$A11)</x:f>
        <x:v>17</x:v>
      </x:c>
      <x:c r="F11" s="31" t="n">
        <x:f>SUM(B11:E11)</x:f>
        <x:v>33</x:v>
      </x:c>
      <x:c r="G11" s="2"/>
      <x:c r="H11" s="22" t="str">
        <x:v>边界</x:v>
      </x:c>
      <x:c r="I11" s="23" t="str">
        <x:v>本次口径</x:v>
      </x:c>
      <x:c r="J11" s="24" t="str">
        <x:v>使用说明</x:v>
      </x:c>
    </x:row>
    <x:row r="12" ht="64" customHeight="1">
      <x:c r="A12" s="2" t="str">
        <x:v>小游戏</x:v>
      </x:c>
      <x:c r="B12" s="31" t="n">
        <x:f>COUNTIFS('音效清单'!$A$7:$A$130,B$5,'音效清单'!$C$7:$C$130,$A12)</x:f>
        <x:v>2</x:v>
      </x:c>
      <x:c r="C12" s="31" t="n">
        <x:f>COUNTIFS('音效清单'!$A$7:$A$130,C$5,'音效清单'!$C$7:$C$130,$A12)</x:f>
        <x:v>3</x:v>
      </x:c>
      <x:c r="D12" s="31" t="n">
        <x:f>COUNTIFS('音效清单'!$A$7:$A$130,D$5,'音效清单'!$C$7:$C$130,$A12)</x:f>
        <x:v>2</x:v>
      </x:c>
      <x:c r="E12" s="31" t="n">
        <x:f>COUNTIFS('音效清单'!$A$7:$A$130,E$5,'音效清单'!$C$7:$C$130,$A12)</x:f>
        <x:v>5</x:v>
      </x:c>
      <x:c r="F12" s="31" t="n">
        <x:f>SUM(B12:E12)</x:f>
        <x:v>12</x:v>
      </x:c>
      <x:c r="G12" s="2"/>
      <x:c r="H12" s="41" t="str">
        <x:v>制作范围</x:v>
      </x:c>
      <x:c r="I12" s="7" t="str">
        <x:v>用户确认：序章＋阶段一。</x:v>
      </x:c>
      <x:c r="J12" s="7" t="str">
        <x:v>阶段三、五、六、九、十一、十二专属声音列T3。</x:v>
      </x:c>
    </x:row>
    <x:row r="13" ht="64" customHeight="1">
      <x:c r="A13" s="2" t="str">
        <x:v>调查</x:v>
      </x:c>
      <x:c r="B13" s="31" t="n">
        <x:f>COUNTIFS('音效清单'!$A$7:$A$130,B$5,'音效清单'!$C$7:$C$130,$A13)</x:f>
        <x:v>0</x:v>
      </x:c>
      <x:c r="C13" s="31" t="n">
        <x:f>COUNTIFS('音效清单'!$A$7:$A$130,C$5,'音效清单'!$C$7:$C$130,$A13)</x:f>
        <x:v>3</x:v>
      </x:c>
      <x:c r="D13" s="31" t="n">
        <x:f>COUNTIFS('音效清单'!$A$7:$A$130,D$5,'音效清单'!$C$7:$C$130,$A13)</x:f>
        <x:v>1</x:v>
      </x:c>
      <x:c r="E13" s="31" t="n">
        <x:f>COUNTIFS('音效清单'!$A$7:$A$130,E$5,'音效清单'!$C$7:$C$130,$A13)</x:f>
        <x:v>1</x:v>
      </x:c>
      <x:c r="F13" s="31" t="n">
        <x:f>SUM(B13:E13)</x:f>
        <x:v>5</x:v>
      </x:c>
      <x:c r="G13" s="2"/>
      <x:c r="H13" s="41" t="str">
        <x:v>阶段一</x:v>
      </x:c>
      <x:c r="I13" s="7" t="str">
        <x:v>五个场景作为需求基线。音乐解谜按主页光点方向整理。</x:v>
      </x:c>
      <x:c r="J13" s="7" t="str">
        <x:v>两套路线仍有矛盾。备用BOSS声音列T3候选，采用后调整。</x:v>
      </x:c>
    </x:row>
    <x:row r="14" ht="64" customHeight="1">
      <x:c r="A14" s="2" t="str">
        <x:v>场景</x:v>
      </x:c>
      <x:c r="B14" s="31" t="n">
        <x:f>COUNTIFS('音效清单'!$A$7:$A$130,B$5,'音效清单'!$C$7:$C$130,$A14)</x:f>
        <x:v>2</x:v>
      </x:c>
      <x:c r="C14" s="31" t="n">
        <x:f>COUNTIFS('音效清单'!$A$7:$A$130,C$5,'音效清单'!$C$7:$C$130,$A14)</x:f>
        <x:v>1</x:v>
      </x:c>
      <x:c r="D14" s="31" t="n">
        <x:f>COUNTIFS('音效清单'!$A$7:$A$130,D$5,'音效清单'!$C$7:$C$130,$A14)</x:f>
        <x:v>5</x:v>
      </x:c>
      <x:c r="E14" s="31" t="n">
        <x:f>COUNTIFS('音效清单'!$A$7:$A$130,E$5,'音效清单'!$C$7:$C$130,$A14)</x:f>
        <x:v>7</x:v>
      </x:c>
      <x:c r="F14" s="31" t="n">
        <x:f>SUM(B14:E14)</x:f>
        <x:v>15</x:v>
      </x:c>
      <x:c r="G14" s="2"/>
      <x:c r="H14" s="41" t="str">
        <x:v>待定机制</x:v>
      </x:c>
      <x:c r="I14" s="7" t="str">
        <x:v>音乐解谜与打造条目标明玩法依赖。</x:v>
      </x:c>
      <x:c r="J14" s="7" t="str">
        <x:v>玩法保留即按对应等级制作。取消玩法可撤销相应条目。</x:v>
      </x:c>
    </x:row>
    <x:row r="15" ht="64" customHeight="1">
      <x:c r="A15" s="2" t="str">
        <x:v>演出</x:v>
      </x:c>
      <x:c r="B15" s="31" t="n">
        <x:f>COUNTIFS('音效清单'!$A$7:$A$130,B$5,'音效清单'!$C$7:$C$130,$A15)</x:f>
        <x:v>0</x:v>
      </x:c>
      <x:c r="C15" s="31" t="n">
        <x:f>COUNTIFS('音效清单'!$A$7:$A$130,C$5,'音效清单'!$C$7:$C$130,$A15)</x:f>
        <x:v>0</x:v>
      </x:c>
      <x:c r="D15" s="31" t="n">
        <x:f>COUNTIFS('音效清单'!$A$7:$A$130,D$5,'音效清单'!$C$7:$C$130,$A15)</x:f>
        <x:v>3</x:v>
      </x:c>
      <x:c r="E15" s="31" t="n">
        <x:f>COUNTIFS('音效清单'!$A$7:$A$130,E$5,'音效清单'!$C$7:$C$130,$A15)</x:f>
        <x:v>3</x:v>
      </x:c>
      <x:c r="F15" s="31" t="n">
        <x:f>SUM(B15:E15)</x:f>
        <x:v>6</x:v>
      </x:c>
      <x:c r="G15" s="2"/>
      <x:c r="H15" s="41" t="str">
        <x:v>统计口径</x:v>
      </x:c>
      <x:c r="I15" s="7" t="str">
        <x:v>一个需求事件一行。通用素材允许多处复用。</x:v>
      </x:c>
      <x:c r="J15" s="7" t="str">
        <x:v>需求数不等于音频文件数。脚步和命中需要少量变体。</x:v>
      </x:c>
    </x:row>
    <x:row r="16" ht="64" customHeight="1">
      <x:c r="A16" s="28" t="str">
        <x:v>总需求数</x:v>
      </x:c>
      <x:c r="B16" s="32" t="n">
        <x:f>SUM(B6:B15)</x:f>
        <x:v>19</x:v>
      </x:c>
      <x:c r="C16" s="32" t="n">
        <x:f>SUM(C6:C15)</x:f>
        <x:v>38</x:v>
      </x:c>
      <x:c r="D16" s="32" t="n">
        <x:f>SUM(D6:D15)</x:f>
        <x:v>24</x:v>
      </x:c>
      <x:c r="E16" s="32" t="n">
        <x:f>SUM(E6:E15)</x:f>
        <x:v>43</x:v>
      </x:c>
      <x:c r="F16" s="32" t="n">
        <x:f>SUM(F6:F15)</x:f>
        <x:v>124</x:v>
      </x:c>
      <x:c r="G16" s="2"/>
      <x:c r="H16" s="41" t="str">
        <x:v>声音范围</x:v>
      </x:c>
      <x:c r="I16" s="7" t="str">
        <x:v>包括短音效、环境循环与演出短提示。</x:v>
      </x:c>
      <x:c r="J16" s="7" t="str">
        <x:v>BGM歌曲与完整角色配音不计入音效需求数量。</x:v>
      </x:c>
    </x:row>
    <x:row r="17" ht="64" customHeight="1">
      <x:c r="A17" s="2"/>
      <x:c r="B17" s="2"/>
      <x:c r="C17" s="2"/>
      <x:c r="D17" s="2"/>
      <x:c r="E17" s="2"/>
      <x:c r="F17" s="2"/>
      <x:c r="G17" s="2"/>
      <x:c r="H17" s="41" t="str">
        <x:v>来源关系</x:v>
      </x:c>
      <x:c r="I17" s="7" t="str">
        <x:v>玩法来自项目文档。音效名称、分级和规格为本次设计。</x:v>
      </x:c>
      <x:c r="J17" s="7" t="str">
        <x:v>规格是制作建议，正式听感和接入仍需游戏内验收。</x:v>
      </x:c>
    </x:row>
    <x:row r="18" ht="64" customHeight="1">
      <x:c r="A18" s="2"/>
      <x:c r="B18" s="2"/>
      <x:c r="C18" s="2"/>
      <x:c r="D18" s="2"/>
      <x:c r="E18" s="2"/>
      <x:c r="F18" s="2"/>
      <x:c r="G18" s="2"/>
      <x:c r="H18" s="41" t="str">
        <x:v>当前覆盖</x:v>
      </x:c>
      <x:c r="I18" s="7" t="str">
        <x:v>静态核对未找到常规SFX和环境音素材或主线调用。</x:v>
      </x:c>
      <x:c r="J18" s="7" t="str">
        <x:v>已有三首测试歌曲与标题音乐。需求清单不代表已完成。</x:v>
      </x:c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</x:row>
    <x:row r="20">
      <x:c r="A20" s="42" t="str">
        <x:v>制作顺序</x:v>
      </x:c>
      <x:c r="B20" s="2"/>
      <x:c r="C20" s="2"/>
      <x:c r="D20" s="2"/>
      <x:c r="E20" s="2"/>
      <x:c r="F20" s="2"/>
      <x:c r="G20" s="2"/>
      <x:c r="H20" s="42" t="str">
        <x:v>参考依据</x:v>
      </x:c>
      <x:c r="I20" s="2"/>
      <x:c r="J20" s="2"/>
    </x:row>
    <x:row r="21">
      <x:c r="A21" s="2"/>
      <x:c r="B21" s="2"/>
      <x:c r="C21" s="2"/>
      <x:c r="D21" s="2"/>
      <x:c r="E21" s="2"/>
      <x:c r="F21" s="2"/>
      <x:c r="G21" s="2"/>
      <x:c r="H21" s="22" t="str">
        <x:v>依据ID</x:v>
      </x:c>
      <x:c r="I21" s="23" t="str">
        <x:v>文档</x:v>
      </x:c>
      <x:c r="J21" s="24" t="str">
        <x:v>对应内容</x:v>
      </x:c>
    </x:row>
    <x:row r="22" ht="44" customHeight="1">
      <x:c r="A22" s="2" t="str">
        <x:v>先完成T0的通用声音。</x:v>
      </x:c>
      <x:c r="B22" s="2"/>
      <x:c r="C22" s="2"/>
      <x:c r="D22" s="2"/>
      <x:c r="E22" s="2"/>
      <x:c r="F22" s="2"/>
      <x:c r="G22" s="2"/>
      <x:c r="H22" s="43" t="str">
        <x:v>S01</x:v>
      </x:c>
      <x:c r="I22" s="44" t="str">
        <x:v>聚光灯飞书主页</x:v>
      </x:c>
      <x:c r="J22" s="44" t="str">
        <x:v>现行室外改动、光点解谜和微恐主题</x:v>
      </x:c>
    </x:row>
    <x:row r="23" ht="44" customHeight="1">
      <x:c r="A23" s="2" t="str">
        <x:v>再补T1的基础反馈。</x:v>
      </x:c>
      <x:c r="B23" s="2"/>
      <x:c r="C23" s="2"/>
      <x:c r="D23" s="2"/>
      <x:c r="E23" s="2"/>
      <x:c r="F23" s="2"/>
      <x:c r="G23" s="2"/>
      <x:c r="H23" s="43" t="str">
        <x:v>S02</x:v>
      </x:c>
      <x:c r="I23" s="44" t="str">
        <x:v>聚光灯剧情大纲</x:v>
      </x:c>
      <x:c r="J23" s="44" t="str">
        <x:v>阶段一至十二的剧情节点</x:v>
      </x:c>
    </x:row>
    <x:row r="24" ht="44" customHeight="1">
      <x:c r="A24" s="2" t="str">
        <x:v>T2在有余量时制作。</x:v>
      </x:c>
      <x:c r="B24" s="2"/>
      <x:c r="C24" s="2"/>
      <x:c r="D24" s="2"/>
      <x:c r="E24" s="2"/>
      <x:c r="F24" s="2"/>
      <x:c r="G24" s="2"/>
      <x:c r="H24" s="43" t="str">
        <x:v>S03</x:v>
      </x:c>
      <x:c r="I24" s="44" t="str">
        <x:v>聚光灯序章流程</x:v>
      </x:c>
      <x:c r="J24" s="44" t="str">
        <x:v>潜行、暗杀、面具、附身与BOSS循环</x:v>
      </x:c>
    </x:row>
    <x:row r="25" ht="44" customHeight="1">
      <x:c r="A25" s="2" t="str">
        <x:v>T3保留需求，暂不排期。</x:v>
      </x:c>
      <x:c r="B25" s="2"/>
      <x:c r="C25" s="2"/>
      <x:c r="D25" s="2"/>
      <x:c r="E25" s="2"/>
      <x:c r="F25" s="2"/>
      <x:c r="G25" s="2"/>
      <x:c r="H25" s="43" t="str">
        <x:v>S04</x:v>
      </x:c>
      <x:c r="I25" s="44" t="str">
        <x:v>阶段一设计文档</x:v>
      </x:c>
      <x:c r="J25" s="44" t="str">
        <x:v>戏班、衣肆、金银行、客栈、酒肆</x:v>
      </x:c>
    </x:row>
    <x:row r="26" ht="44" customHeight="1">
      <x:c r="A26" s="2"/>
      <x:c r="B26" s="2"/>
      <x:c r="C26" s="2"/>
      <x:c r="D26" s="2"/>
      <x:c r="E26" s="2"/>
      <x:c r="F26" s="2"/>
      <x:c r="G26" s="2"/>
      <x:c r="H26" s="43" t="str">
        <x:v>S05</x:v>
      </x:c>
      <x:c r="I26" s="44" t="str">
        <x:v>怪物状态与交互设计文档</x:v>
      </x:c>
      <x:c r="J26" s="44" t="str">
        <x:v>警戒、敌对、攻击、受击、处决与静步</x:v>
      </x:c>
    </x:row>
    <x:row r="27" ht="44" customHeight="1">
      <x:c r="A27" s="2" t="str">
        <x:v>明细已按T0、T1、T2、T3排序。</x:v>
      </x:c>
      <x:c r="B27" s="2"/>
      <x:c r="C27" s="2"/>
      <x:c r="D27" s="2"/>
      <x:c r="E27" s="2"/>
      <x:c r="F27" s="2"/>
      <x:c r="G27" s="2"/>
      <x:c r="H27" s="43" t="str">
        <x:v>S06</x:v>
      </x:c>
      <x:c r="I27" s="44" t="str">
        <x:v>回合制作战文档</x:v>
      </x:c>
      <x:c r="J27" s="44" t="str">
        <x:v>玩家三招式、怒气、道具、BOSS醉酒</x:v>
      </x:c>
    </x:row>
    <x:row r="28" ht="44" customHeight="1">
      <x:c r="A28" s="2" t="str">
        <x:v>可在音效清单中筛选分类和等级。</x:v>
      </x:c>
      <x:c r="B28" s="2"/>
      <x:c r="C28" s="2"/>
      <x:c r="D28" s="2"/>
      <x:c r="E28" s="2"/>
      <x:c r="F28" s="2"/>
      <x:c r="G28" s="2"/>
      <x:c r="H28" s="43" t="str">
        <x:v>S07</x:v>
      </x:c>
      <x:c r="I28" s="44" t="str">
        <x:v>战斗阶段设计思路和怪物命名关系</x:v>
      </x:c>
      <x:c r="J28" s="44" t="str">
        <x:v>阶段一备用路线、阶段三六九专属机制</x:v>
      </x:c>
    </x:row>
    <x:row r="29" ht="44" customHeight="1">
      <x:c r="A29" s="2"/>
      <x:c r="B29" s="2"/>
      <x:c r="C29" s="2"/>
      <x:c r="D29" s="2"/>
      <x:c r="E29" s="2"/>
      <x:c r="F29" s="2"/>
      <x:c r="G29" s="2"/>
      <x:c r="H29" s="43" t="str">
        <x:v>S08</x:v>
      </x:c>
      <x:c r="I29" s="44" t="str">
        <x:v>小游戏功能拆分</x:v>
      </x:c>
      <x:c r="J29" s="44" t="str">
        <x:v>光点与下落式两版、打造、待定规则</x:v>
      </x:c>
    </x:row>
    <x:row r="30" ht="44" customHeight="1">
      <x:c r="A30" s="2"/>
      <x:c r="B30" s="2"/>
      <x:c r="C30" s="2"/>
      <x:c r="D30" s="2"/>
      <x:c r="E30" s="2"/>
      <x:c r="F30" s="2"/>
      <x:c r="G30" s="2"/>
      <x:c r="H30" s="43" t="str">
        <x:v>S09</x:v>
      </x:c>
      <x:c r="I30" s="44" t="str">
        <x:v>项目模块文档目录</x:v>
      </x:c>
      <x:c r="J30" s="44" t="str">
        <x:v>已有UI、交互、任务、背包、存档能力</x:v>
      </x:c>
    </x:row>
    <x:row r="31" ht="44" customHeight="1">
      <x:c r="A31" s="2"/>
      <x:c r="B31" s="2"/>
      <x:c r="C31" s="2"/>
      <x:c r="D31" s="2"/>
      <x:c r="E31" s="2"/>
      <x:c r="F31" s="2"/>
      <x:c r="G31" s="2"/>
      <x:c r="H31" s="43" t="str">
        <x:v>S10</x:v>
      </x:c>
      <x:c r="I31" s="44" t="str">
        <x:v>Performance演出模块指南</x:v>
      </x:c>
      <x:c r="J31" s="44" t="str">
        <x:v>世界舞台、逐字字幕、暂停与跳过</x:v>
      </x:c>
    </x:row>
    <x:row r="32" ht="44" customHeight="1">
      <x:c r="A32" s="2"/>
      <x:c r="B32" s="2"/>
      <x:c r="C32" s="2"/>
      <x:c r="D32" s="2"/>
      <x:c r="E32" s="2"/>
      <x:c r="F32" s="2"/>
      <x:c r="G32" s="2"/>
      <x:c r="H32" s="43" t="str">
        <x:v>S11</x:v>
      </x:c>
      <x:c r="I32" s="44" t="str">
        <x:v>项目路线图</x:v>
      </x:c>
      <x:c r="J32" s="44" t="str">
        <x:v>F4音频、S组玩法、G组冻结与独立音游</x:v>
      </x:c>
    </x:row>
    <x:row r="33" ht="44" customHeight="1">
      <x:c r="A33" s="2"/>
      <x:c r="B33" s="2"/>
      <x:c r="C33" s="2"/>
      <x:c r="D33" s="2"/>
      <x:c r="E33" s="2"/>
      <x:c r="F33" s="2"/>
      <x:c r="G33" s="2"/>
      <x:c r="H33" s="43" t="str">
        <x:v>S12</x:v>
      </x:c>
      <x:c r="I33" s="44" t="str">
        <x:v>音频目录说明与音频服务源码</x:v>
      </x:c>
      <x:c r="J33" s="44" t="str">
        <x:v>素材现状、短音效、循环与音量接入</x:v>
      </x:c>
    </x:row>
    <x:row r="34" ht="44" customHeight="1">
      <x:c r="A34" s="2"/>
      <x:c r="B34" s="2"/>
      <x:c r="C34" s="2"/>
      <x:c r="D34" s="2"/>
      <x:c r="E34" s="2"/>
      <x:c r="F34" s="2"/>
      <x:c r="G34" s="2"/>
      <x:c r="H34" s="43" t="str">
        <x:v>S13</x:v>
      </x:c>
      <x:c r="I34" s="44" t="str">
        <x:v>画面打印机节奏原型技术规格</x:v>
      </x:c>
      <x:c r="J34" s="44" t="str">
        <x:v>独立Stamp、Roll、Cut候选玩法</x:v>
      </x:c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26981"/>
  </x:sheetPr>
  <x:sheetViews>
    <x:sheetView showGridLines="0" workbookViewId="0">
      <x:pane xSplit="4" ySplit="6" topLeftCell="E7" activePane="bottomRight" state="frozen"/>
    </x:sheetView>
  </x:sheetViews>
  <x:sheetFormatPr defaultRowHeight="15"/>
  <x:cols>
    <x:col min="1" max="1" width="8" hidden="0" customWidth="1"/>
    <x:col min="2" max="2" width="12" hidden="0" customWidth="1"/>
    <x:col min="3" max="3" width="10" hidden="0" customWidth="1"/>
    <x:col min="4" max="4" width="25" hidden="0" customWidth="1"/>
    <x:col min="5" max="5" width="36" hidden="0" customWidth="1"/>
    <x:col min="6" max="6" width="38" hidden="0" customWidth="1"/>
    <x:col min="7" max="7" width="38" hidden="0" customWidth="1"/>
    <x:col min="8" max="8" width="37" hidden="0" customWidth="1"/>
    <x:col min="9" max="9" width="39" hidden="0" customWidth="1"/>
    <x:col min="10" max="10" width="1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30" customHeight="1">
      <x:c r="A2" s="4" t="str">
        <x:v>聚光灯音效需求清单</x:v>
      </x:c>
      <x:c r="B2" s="5"/>
      <x:c r="C2" s="5"/>
      <x:c r="D2" s="5"/>
      <x:c r="E2" s="5"/>
      <x:c r="F2" s="5"/>
      <x:c r="G2" s="5"/>
      <x:c r="H2" s="5"/>
      <x:c r="I2" s="5"/>
      <x:c r="J2" s="5"/>
    </x:row>
    <x:row r="3" ht="22" customHeight="1">
      <x:c r="A3" s="6" t="str">
        <x:v>21天范围：序章＋阶段一。后续章节与计划外玩法列T3。</x:v>
      </x:c>
      <x:c r="B3" s="6"/>
      <x:c r="C3" s="6"/>
      <x:c r="D3" s="6"/>
      <x:c r="E3" s="6"/>
      <x:c r="F3" s="6"/>
      <x:c r="G3" s="6"/>
      <x:c r="H3" s="6"/>
      <x:c r="I3" s="6"/>
      <x:c r="J3" s="6"/>
    </x:row>
    <x:row r="4" ht="22" customHeight="1">
      <x:c r="A4" s="6" t="str">
        <x:v>一行表示一个声音需求事件。素材可复用，变体不单独计数。筛选优先级或分类查看。</x:v>
      </x:c>
      <x:c r="B4" s="6"/>
      <x:c r="C4" s="6"/>
      <x:c r="D4" s="6"/>
      <x:c r="E4" s="6"/>
      <x:c r="F4" s="6"/>
      <x:c r="G4" s="6"/>
      <x:c r="H4" s="6"/>
      <x:c r="I4" s="6"/>
      <x:c r="J4" s="6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 ht="32" customHeight="1">
      <x:c r="A6" s="22" t="str">
        <x:v>优先级</x:v>
      </x:c>
      <x:c r="B6" s="23" t="str">
        <x:v>需求编号</x:v>
      </x:c>
      <x:c r="C6" s="23" t="str">
        <x:v>分类</x:v>
      </x:c>
      <x:c r="D6" s="23" t="str">
        <x:v>音效名称</x:v>
      </x:c>
      <x:c r="E6" s="23" t="str">
        <x:v>实际应用场景</x:v>
      </x:c>
      <x:c r="F6" s="23" t="str">
        <x:v>触发条件</x:v>
      </x:c>
      <x:c r="G6" s="23" t="str">
        <x:v>分级理由</x:v>
      </x:c>
      <x:c r="H6" s="23" t="str">
        <x:v>制作规格建议</x:v>
      </x:c>
      <x:c r="I6" s="23" t="str">
        <x:v>排期与依赖</x:v>
      </x:c>
      <x:c r="J6" s="24" t="str">
        <x:v>依据ID</x:v>
      </x:c>
    </x:row>
    <x:row r="7" ht="44" customHeight="1">
      <x:c r="A7" s="9" t="str">
        <x:v>T0</x:v>
      </x:c>
      <x:c r="B7" s="9" t="str">
        <x:v>FX-001</x:v>
      </x:c>
      <x:c r="C7" s="9" t="str">
        <x:v>潜行</x:v>
      </x:c>
      <x:c r="D7" s="8" t="str">
        <x:v>敌人开始警戒</x:v>
      </x:c>
      <x:c r="E7" s="10" t="str">
        <x:v>序章潜行教学；阶段一坊市巡逻区</x:v>
      </x:c>
      <x:c r="F7" s="10" t="str">
        <x:v>敌人首次察觉玩家，巡逻转为警戒</x:v>
      </x:c>
      <x:c r="G7" s="10" t="str">
        <x:v>不可见的感知范围需要及时反馈，缺失会让被发现显得突然</x:v>
      </x:c>
      <x:c r="H7" s="10" t="str">
        <x:v>0.3–0.8秒短音。与敌对提示有明显区别</x:v>
      </x:c>
      <x:c r="I7" s="10" t="str">
        <x:v>通用必做。每次状态进入只播一次</x:v>
      </x:c>
      <x:c r="J7" s="11" t="str">
        <x:v>S03/S05</x:v>
      </x:c>
    </x:row>
    <x:row r="8" ht="44" customHeight="1">
      <x:c r="A8" s="9" t="str">
        <x:v>T0</x:v>
      </x:c>
      <x:c r="B8" s="9" t="str">
        <x:v>FX-002</x:v>
      </x:c>
      <x:c r="C8" s="9" t="str">
        <x:v>潜行</x:v>
      </x:c>
      <x:c r="D8" s="8" t="str">
        <x:v>敌对锁定与追逐开始</x:v>
      </x:c>
      <x:c r="E8" s="12" t="str">
        <x:v>序章被发现；阶段一任何暴露后的追逐</x:v>
      </x:c>
      <x:c r="F8" s="12" t="str">
        <x:v>敌人进入敌对或追逐正式开始</x:v>
      </x:c>
      <x:c r="G8" s="12" t="str">
        <x:v>玩家必须立即知道潜行失败并切换为逃脱行为</x:v>
      </x:c>
      <x:c r="H8" s="12" t="str">
        <x:v>0.5–1秒危险短音。高于环境声，控制峰值</x:v>
      </x:c>
      <x:c r="I8" s="12" t="str">
        <x:v>通用必做。敌对与追逐可复用同一素材</x:v>
      </x:c>
      <x:c r="J8" s="13" t="str">
        <x:v>S03/S05</x:v>
      </x:c>
    </x:row>
    <x:row r="9" ht="44" customHeight="1">
      <x:c r="A9" s="9" t="str">
        <x:v>T0</x:v>
      </x:c>
      <x:c r="B9" s="9" t="str">
        <x:v>FX-003</x:v>
      </x:c>
      <x:c r="C9" s="9" t="str">
        <x:v>潜行</x:v>
      </x:c>
      <x:c r="D9" s="8" t="str">
        <x:v>追逐进行中的危险声</x:v>
      </x:c>
      <x:c r="E9" s="10" t="str">
        <x:v>序章逃脱；阶段一坊市追逐</x:v>
      </x:c>
      <x:c r="F9" s="10" t="str">
        <x:v>追逐状态持续时播放，脱离、暂停或切场时停止</x:v>
      </x:c>
      <x:c r="G9" s="10" t="str">
        <x:v>持续危险没有听觉状态会削弱紧张感与逃脱判断</x:v>
      </x:c>
      <x:c r="H9" s="10" t="str">
        <x:v>短循环或稀疏脉冲。保留脚步、受击的可辨识度</x:v>
      </x:c>
      <x:c r="I9" s="10" t="str">
        <x:v>通用必做。独立启停，避免重复叠加</x:v>
      </x:c>
      <x:c r="J9" s="11" t="str">
        <x:v>S03/S05</x:v>
      </x:c>
    </x:row>
    <x:row r="10" ht="44" customHeight="1">
      <x:c r="A10" s="9" t="str">
        <x:v>T0</x:v>
      </x:c>
      <x:c r="B10" s="9" t="str">
        <x:v>FX-004</x:v>
      </x:c>
      <x:c r="C10" s="9" t="str">
        <x:v>身份</x:v>
      </x:c>
      <x:c r="D10" s="8" t="str">
        <x:v>换皮或面具生效</x:v>
      </x:c>
      <x:c r="E10" s="12" t="str">
        <x:v>阶段一学徒、都知、顾客、官证等身份切换</x:v>
      </x:c>
      <x:c r="F10" s="12" t="str">
        <x:v>身份切换成功并实际生效</x:v>
      </x:c>
      <x:c r="G10" s="12" t="str">
        <x:v>身份是解谜与通行基础，缺失会降低切换结果的确定感</x:v>
      </x:c>
      <x:c r="H10" s="12" t="str">
        <x:v>0.5–1秒。皮革摩擦结合低沉变化声</x:v>
      </x:c>
      <x:c r="I10" s="12" t="str">
        <x:v>通用必做。先做所有身份共用版本</x:v>
      </x:c>
      <x:c r="J10" s="13" t="str">
        <x:v>S01/S03/S04</x:v>
      </x:c>
    </x:row>
    <x:row r="11" ht="44" customHeight="1">
      <x:c r="A11" s="9" t="str">
        <x:v>T0</x:v>
      </x:c>
      <x:c r="B11" s="9" t="str">
        <x:v>FX-005</x:v>
      </x:c>
      <x:c r="C11" s="9" t="str">
        <x:v>身份</x:v>
      </x:c>
      <x:c r="D11" s="8" t="str">
        <x:v>附身成功</x:v>
      </x:c>
      <x:c r="E11" s="10" t="str">
        <x:v>序章驯服附身；阶段一乐正、金银匠等目标</x:v>
      </x:c>
      <x:c r="F11" s="10" t="str">
        <x:v>附身成功，玩家正式控制目标</x:v>
      </x:c>
      <x:c r="G11" s="10" t="str">
        <x:v>缺失会让控制权变化缺乏反馈，影响核心玩法理解</x:v>
      </x:c>
      <x:c r="H11" s="10" t="str">
        <x:v>0.6–1.2秒。与普通换皮声可辨区分</x:v>
      </x:c>
      <x:c r="I11" s="10" t="str">
        <x:v>通用必做。附身的正式条件仍按玩法定案执行</x:v>
      </x:c>
      <x:c r="J11" s="11" t="str">
        <x:v>S03/S04</x:v>
      </x:c>
    </x:row>
    <x:row r="12" ht="44" customHeight="1">
      <x:c r="A12" s="9" t="str">
        <x:v>T0</x:v>
      </x:c>
      <x:c r="B12" s="9" t="str">
        <x:v>FX-006</x:v>
      </x:c>
      <x:c r="C12" s="9" t="str">
        <x:v>身份</x:v>
      </x:c>
      <x:c r="D12" s="8" t="str">
        <x:v>身份解除或附身退出</x:v>
      </x:c>
      <x:c r="E12" s="12" t="str">
        <x:v>序章及阶段一返回本体的节点</x:v>
      </x:c>
      <x:c r="F12" s="12" t="str">
        <x:v>身份实际失效，或主动退出控制</x:v>
      </x:c>
      <x:c r="G12" s="12" t="str">
        <x:v>玩家需要立即知道保护与权限结束，避免误判安全状态</x:v>
      </x:c>
      <x:c r="H12" s="12" t="str">
        <x:v>0.4–0.8秒。可用生效音的反向结构</x:v>
      </x:c>
      <x:c r="I12" s="12" t="str">
        <x:v>通用必做。只跟随已发生的状态变化</x:v>
      </x:c>
      <x:c r="J12" s="13" t="str">
        <x:v>S01/S03/S04</x:v>
      </x:c>
    </x:row>
    <x:row r="13" ht="44" customHeight="1">
      <x:c r="A13" s="9" t="str">
        <x:v>T0</x:v>
      </x:c>
      <x:c r="B13" s="9" t="str">
        <x:v>FX-007</x:v>
      </x:c>
      <x:c r="C13" s="9" t="str">
        <x:v>身份</x:v>
      </x:c>
      <x:c r="D13" s="8" t="str">
        <x:v>身份暴露</x:v>
      </x:c>
      <x:c r="E13" s="10" t="str">
        <x:v>戏班乐正被发现；阶段一不符合身份规则的行为</x:v>
      </x:c>
      <x:c r="F13" s="10" t="str">
        <x:v>系统判定身份暴露</x:v>
      </x:c>
      <x:c r="G13" s="10" t="str">
        <x:v>暴露是核心失败风险，缺失会使规则惩罚不清楚</x:v>
      </x:c>
      <x:c r="H13" s="10" t="str">
        <x:v>0.5–1秒。短促剥离、破裂感，避免过长尾音</x:v>
      </x:c>
      <x:c r="I13" s="10" t="str">
        <x:v>通用必做。后果未定，提示音不绑定具体死亡方式</x:v>
      </x:c>
      <x:c r="J13" s="11" t="str">
        <x:v>S01/S04/S05</x:v>
      </x:c>
    </x:row>
    <x:row r="14" ht="44" customHeight="1">
      <x:c r="A14" s="9" t="str">
        <x:v>T0</x:v>
      </x:c>
      <x:c r="B14" s="9" t="str">
        <x:v>FX-008</x:v>
      </x:c>
      <x:c r="C14" s="9" t="str">
        <x:v>交互</x:v>
      </x:c>
      <x:c r="D14" s="8" t="str">
        <x:v>核心行动被拒绝</x:v>
      </x:c>
      <x:c r="E14" s="12" t="str">
        <x:v>处决条件不足、附身失败、权限不足的操作</x:v>
      </x:c>
      <x:c r="F14" s="12" t="str">
        <x:v>系统明确拒绝行动并显示原因</x:v>
      </x:c>
      <x:c r="G14" s="12" t="str">
        <x:v>复杂条件下只有无反应会被误认为输入或功能故障</x:v>
      </x:c>
      <x:c r="H14" s="12" t="str">
        <x:v>0.15–0.4秒。低强度、可重复，限制连点频率</x:v>
      </x:c>
      <x:c r="I14" s="12" t="str">
        <x:v>通用必做。音乐谜题非正确身份的无反应规则须另确认</x:v>
      </x:c>
      <x:c r="J14" s="13" t="str">
        <x:v>S03/S04/S05</x:v>
      </x:c>
    </x:row>
    <x:row r="15" ht="44" customHeight="1">
      <x:c r="A15" s="9" t="str">
        <x:v>T0</x:v>
      </x:c>
      <x:c r="B15" s="9" t="str">
        <x:v>FX-009</x:v>
      </x:c>
      <x:c r="C15" s="9" t="str">
        <x:v>交互</x:v>
      </x:c>
      <x:c r="D15" s="8" t="str">
        <x:v>关键道具或关键线索获得</x:v>
      </x:c>
      <x:c r="E15" s="10" t="str">
        <x:v>序章首个能力面具；阶段一衣服、金钥匙、妻子位置线索</x:v>
      </x:c>
      <x:c r="F15" s="10" t="str">
        <x:v>关键奖励实际入包，或关键剧情标记确认写入</x:v>
      </x:c>
      <x:c r="G15" s="10" t="str">
        <x:v>重要行动的成果需要清楚收束，缺失会损伤推进感</x:v>
      </x:c>
      <x:c r="H15" s="10" t="str">
        <x:v>0.5–1秒。统一关键奖励短音，不替玩家预告正确答案</x:v>
      </x:c>
      <x:c r="I15" s="10" t="str">
        <x:v>通用必做。关键物与普通拾取分开</x:v>
      </x:c>
      <x:c r="J15" s="11" t="str">
        <x:v>S02/S03/S04</x:v>
      </x:c>
    </x:row>
    <x:row r="16" ht="44" customHeight="1">
      <x:c r="A16" s="9" t="str">
        <x:v>T0</x:v>
      </x:c>
      <x:c r="B16" s="9" t="str">
        <x:v>FX-010</x:v>
      </x:c>
      <x:c r="C16" s="9" t="str">
        <x:v>战斗</x:v>
      </x:c>
      <x:c r="D16" s="8" t="str">
        <x:v>攻击命中</x:v>
      </x:c>
      <x:c r="E16" s="12" t="str">
        <x:v>序章战斗；阶段一小怪与酒肆BOSS</x:v>
      </x:c>
      <x:c r="F16" s="12" t="str">
        <x:v>攻击实际命中并产生结果</x:v>
      </x:c>
      <x:c r="G16" s="12" t="str">
        <x:v>无命中音会明显削弱打击感和伤害确认</x:v>
      </x:c>
      <x:c r="H16" s="12" t="str">
        <x:v>0.15–0.5秒。至少2个轻微变体，强调接触瞬间</x:v>
      </x:c>
      <x:c r="I16" s="12" t="str">
        <x:v>通用必做。以命中结果触发</x:v>
      </x:c>
      <x:c r="J16" s="13" t="str">
        <x:v>S05/S06</x:v>
      </x:c>
    </x:row>
    <x:row r="17" ht="44" customHeight="1">
      <x:c r="A17" s="9" t="str">
        <x:v>T0</x:v>
      </x:c>
      <x:c r="B17" s="9" t="str">
        <x:v>FX-011</x:v>
      </x:c>
      <x:c r="C17" s="9" t="str">
        <x:v>战斗</x:v>
      </x:c>
      <x:c r="D17" s="8" t="str">
        <x:v>玩家受击</x:v>
      </x:c>
      <x:c r="E17" s="10" t="str">
        <x:v>序章本体挨打；阶段一探索和BOSS战</x:v>
      </x:c>
      <x:c r="F17" s="10" t="str">
        <x:v>玩家实际受到伤害或攻击命中</x:v>
      </x:c>
      <x:c r="G17" s="10" t="str">
        <x:v>缺失会降低对危险与生命变化的即时感知</x:v>
      </x:c>
      <x:c r="H17" s="10" t="str">
        <x:v>0.2–0.6秒。身体撞击短音，区别于敌人受击</x:v>
      </x:c>
      <x:c r="I17" s="10" t="str">
        <x:v>通用必做。连击需限频</x:v>
      </x:c>
      <x:c r="J17" s="11" t="str">
        <x:v>S01/S05/S06</x:v>
      </x:c>
    </x:row>
    <x:row r="18" ht="44" customHeight="1">
      <x:c r="A18" s="9" t="str">
        <x:v>T0</x:v>
      </x:c>
      <x:c r="B18" s="9" t="str">
        <x:v>FX-012</x:v>
      </x:c>
      <x:c r="C18" s="9" t="str">
        <x:v>战斗</x:v>
      </x:c>
      <x:c r="D18" s="8" t="str">
        <x:v>玩家被击倒</x:v>
      </x:c>
      <x:c r="E18" s="12" t="str">
        <x:v>序章击倒教学；阶段一被怪物攻击后倒地</x:v>
      </x:c>
      <x:c r="F18" s="12" t="str">
        <x:v>玩家进入击倒状态</x:v>
      </x:c>
      <x:c r="G18" s="12" t="str">
        <x:v>击倒改变操作能力，需要让玩家明确知道状态转变</x:v>
      </x:c>
      <x:c r="H18" s="12" t="str">
        <x:v>0.3–0.8秒。身体落地与衣料摩擦</x:v>
      </x:c>
      <x:c r="I18" s="12" t="str">
        <x:v>通用必做。后续起身可用基础动作声</x:v>
      </x:c>
      <x:c r="J18" s="13" t="str">
        <x:v>S01/S05</x:v>
      </x:c>
    </x:row>
    <x:row r="19" ht="44" customHeight="1">
      <x:c r="A19" s="9" t="str">
        <x:v>T0</x:v>
      </x:c>
      <x:c r="B19" s="9" t="str">
        <x:v>FX-013</x:v>
      </x:c>
      <x:c r="C19" s="9" t="str">
        <x:v>战斗</x:v>
      </x:c>
      <x:c r="D19" s="8" t="str">
        <x:v>失败或死亡结果</x:v>
      </x:c>
      <x:c r="E19" s="10" t="str">
        <x:v>序章失败；阶段一暴露失败或BOSS战失败</x:v>
      </x:c>
      <x:c r="F19" s="10" t="str">
        <x:v>游戏进入正式失败结算或返回重试流程</x:v>
      </x:c>
      <x:c r="G19" s="10" t="str">
        <x:v>玩家需要清楚辨别本次游玩已结束</x:v>
      </x:c>
      <x:c r="H19" s="10" t="str">
        <x:v>0.6–1.5秒。低沉收束，避免突发大音量</x:v>
      </x:c>
      <x:c r="I19" s="10" t="str">
        <x:v>通用必做。按实际失败规则触发</x:v>
      </x:c>
      <x:c r="J19" s="11" t="str">
        <x:v>S01/S06/S09</x:v>
      </x:c>
    </x:row>
    <x:row r="20" ht="44" customHeight="1">
      <x:c r="A20" s="9" t="str">
        <x:v>T0</x:v>
      </x:c>
      <x:c r="B20" s="9" t="str">
        <x:v>FX-014</x:v>
      </x:c>
      <x:c r="C20" s="9" t="str">
        <x:v>战斗</x:v>
      </x:c>
      <x:c r="D20" s="8" t="str">
        <x:v>处决成功</x:v>
      </x:c>
      <x:c r="E20" s="12" t="str">
        <x:v>序章绕背暗杀；阶段一允许处决的小怪</x:v>
      </x:c>
      <x:c r="F20" s="12" t="str">
        <x:v>处决判定成功并执行</x:v>
      </x:c>
      <x:c r="G20" s="12" t="str">
        <x:v>无成功反馈会削弱潜行收益和关键动作的完成感</x:v>
      </x:c>
      <x:c r="H20" s="12" t="str">
        <x:v>0.3–0.8秒。短促切入与身体冲击，可复用命中层</x:v>
      </x:c>
      <x:c r="I20" s="12" t="str">
        <x:v>通用必做。不可处决目标不播成功音</x:v>
      </x:c>
      <x:c r="J20" s="13" t="str">
        <x:v>S03/S05</x:v>
      </x:c>
    </x:row>
    <x:row r="21" ht="44" customHeight="1">
      <x:c r="A21" s="9" t="str">
        <x:v>T0</x:v>
      </x:c>
      <x:c r="B21" s="9" t="str">
        <x:v>FX-015</x:v>
      </x:c>
      <x:c r="C21" s="9" t="str">
        <x:v>战斗</x:v>
      </x:c>
      <x:c r="D21" s="8" t="str">
        <x:v>战斗胜利结果</x:v>
      </x:c>
      <x:c r="E21" s="10" t="str">
        <x:v>阶段一酒肆BOSS；序章战斗收束</x:v>
      </x:c>
      <x:c r="F21" s="10" t="str">
        <x:v>胜利已判定，准备回到探索或推进剧情</x:v>
      </x:c>
      <x:c r="G21" s="10" t="str">
        <x:v>战斗结束与探索恢复需要明确的结果反馈</x:v>
      </x:c>
      <x:c r="H21" s="10" t="str">
        <x:v>0.6–1.2秒。克制的胜利收束，避免长乐句</x:v>
      </x:c>
      <x:c r="I21" s="10" t="str">
        <x:v>通用必做。和关键奖励音错开</x:v>
      </x:c>
      <x:c r="J21" s="11" t="str">
        <x:v>S02/S06/S09</x:v>
      </x:c>
    </x:row>
    <x:row r="22" ht="44" customHeight="1">
      <x:c r="A22" s="9" t="str">
        <x:v>T0</x:v>
      </x:c>
      <x:c r="B22" s="9" t="str">
        <x:v>FX-016</x:v>
      </x:c>
      <x:c r="C22" s="9" t="str">
        <x:v>场景</x:v>
      </x:c>
      <x:c r="D22" s="8" t="str">
        <x:v>穿镜切换两界</x:v>
      </x:c>
      <x:c r="E22" s="12" t="str">
        <x:v>序章首次入镜；阶段一进入镜中长安</x:v>
      </x:c>
      <x:c r="F22" s="12" t="str">
        <x:v>镜面交互成功并开始世界切换</x:v>
      </x:c>
      <x:c r="G22" s="12" t="str">
        <x:v>两界切换是核心设定，缺失会弱化转场和世界差异</x:v>
      </x:c>
      <x:c r="H22" s="12" t="str">
        <x:v>0.8–1.5秒。镜面共鸣、风吸入与短尾音</x:v>
      </x:c>
      <x:c r="I22" s="12" t="str">
        <x:v>通用必做。进入、离开先复用一套结构</x:v>
      </x:c>
      <x:c r="J22" s="13" t="str">
        <x:v>S01/S02/S03</x:v>
      </x:c>
    </x:row>
    <x:row r="23" ht="44" customHeight="1">
      <x:c r="A23" s="9" t="str">
        <x:v>T0</x:v>
      </x:c>
      <x:c r="B23" s="9" t="str">
        <x:v>FX-017</x:v>
      </x:c>
      <x:c r="C23" s="9" t="str">
        <x:v>场景</x:v>
      </x:c>
      <x:c r="D23" s="8" t="str">
        <x:v>妖界基础环境声</x:v>
      </x:c>
      <x:c r="E23" s="10" t="str">
        <x:v>阶段一镜中长安坊市的探索全程</x:v>
      </x:c>
      <x:c r="F23" s="10" t="str">
        <x:v>进入妖界后持续播放，离场淡出</x:v>
      </x:c>
      <x:c r="G23" s="10" t="str">
        <x:v>中式微恐需要最低限度的声景，完全静默会损伤题材体验</x:v>
      </x:c>
      <x:c r="H23" s="10" t="str">
        <x:v>20–40秒无缝循环。稀疏风声和远处异响，少堆低频</x:v>
      </x:c>
      <x:c r="I23" s="10" t="str">
        <x:v>基础必做。各店铺先共用此底声</x:v>
      </x:c>
      <x:c r="J23" s="11" t="str">
        <x:v>S01/S02</x:v>
      </x:c>
    </x:row>
    <x:row r="24" ht="44" customHeight="1">
      <x:c r="A24" s="9" t="str">
        <x:v>T0</x:v>
      </x:c>
      <x:c r="B24" s="9" t="str">
        <x:v>FX-018</x:v>
      </x:c>
      <x:c r="C24" s="9" t="str">
        <x:v>小游戏</x:v>
      </x:c>
      <x:c r="D24" s="8" t="str">
        <x:v>音乐解谜正确点击</x:v>
      </x:c>
      <x:c r="E24" s="12" t="str">
        <x:v>阶段一戏班乐正身份下的光点解谜</x:v>
      </x:c>
      <x:c r="F24" s="12" t="str">
        <x:v>系统确认本次点击有效并消除光点</x:v>
      </x:c>
      <x:c r="G24" s="12" t="str">
        <x:v>点击与消除没有即时声音会削弱解谜手感</x:v>
      </x:c>
      <x:c r="H24" s="12" t="str">
        <x:v>0.1–0.3秒。干净轻击，不盖住音乐或下一次提示</x:v>
      </x:c>
      <x:c r="I24" s="12" t="str">
        <x:v>保留音乐解谜即必做。光点规则与产出仍待定案</x:v>
      </x:c>
      <x:c r="J24" s="13" t="str">
        <x:v>S01/S04/S08</x:v>
      </x:c>
    </x:row>
    <x:row r="25" ht="44" customHeight="1">
      <x:c r="A25" s="9" t="str">
        <x:v>T0</x:v>
      </x:c>
      <x:c r="B25" s="9" t="str">
        <x:v>FX-019</x:v>
      </x:c>
      <x:c r="C25" s="9" t="str">
        <x:v>小游戏</x:v>
      </x:c>
      <x:c r="D25" s="8" t="str">
        <x:v>打造有效敲击</x:v>
      </x:c>
      <x:c r="E25" s="10" t="str">
        <x:v>阶段一金银行，金银匠打造金钥匙和首饰</x:v>
      </x:c>
      <x:c r="F25" s="10" t="str">
        <x:v>一次有效打造点击被接受</x:v>
      </x:c>
      <x:c r="G25" s="10" t="str">
        <x:v>连续打造的核心动作需要接触反馈，否则容易显得空按</x:v>
      </x:c>
      <x:c r="H25" s="10" t="str">
        <x:v>0.1–0.4秒金属敲击。至少2个变体，限制叠音</x:v>
      </x:c>
      <x:c r="I25" s="10" t="str">
        <x:v>保留打造即必做。只播被接受的点击</x:v>
      </x:c>
      <x:c r="J25" s="11" t="str">
        <x:v>S04/S08</x:v>
      </x:c>
    </x:row>
    <x:row r="26" ht="44" customHeight="1">
      <x:c r="A26" s="9" t="str">
        <x:v>T1</x:v>
      </x:c>
      <x:c r="B26" s="9" t="str">
        <x:v>FX-020</x:v>
      </x:c>
      <x:c r="C26" s="9" t="str">
        <x:v>UI</x:v>
      </x:c>
      <x:c r="D26" s="8" t="str">
        <x:v>确认或按钮点击</x:v>
      </x:c>
      <x:c r="E26" s="12" t="str">
        <x:v>标题开始、对话选项、战斗招式、打造提交等按钮</x:v>
      </x:c>
      <x:c r="F26" s="12" t="str">
        <x:v>玩家确认可用按钮或提交选项</x:v>
      </x:c>
      <x:c r="G26" s="12" t="str">
        <x:v>提供基本操作反馈，优先级低于危险和行动结果</x:v>
      </x:c>
      <x:c r="H26" s="12" t="str">
        <x:v>0.08–0.2秒。统一短点击，全工程共用</x:v>
      </x:c>
      <x:c r="I26" s="12" t="str">
        <x:v>21天基础项。对话选项不区分善恶或答案正确性</x:v>
      </x:c>
      <x:c r="J26" s="13" t="str">
        <x:v>S09</x:v>
      </x:c>
    </x:row>
    <x:row r="27" ht="44" customHeight="1">
      <x:c r="A27" s="9" t="str">
        <x:v>T1</x:v>
      </x:c>
      <x:c r="B27" s="9" t="str">
        <x:v>FX-021</x:v>
      </x:c>
      <x:c r="C27" s="9" t="str">
        <x:v>UI</x:v>
      </x:c>
      <x:c r="D27" s="8" t="str">
        <x:v>返回或取消</x:v>
      </x:c>
      <x:c r="E27" s="10" t="str">
        <x:v>设置、背包、存档槽、对话记录等面板</x:v>
      </x:c>
      <x:c r="F27" s="10" t="str">
        <x:v>用户执行返回或取消</x:v>
      </x:c>
      <x:c r="G27" s="10" t="str">
        <x:v>让面板操作完整，缺失仍可通过界面理解</x:v>
      </x:c>
      <x:c r="H27" s="10" t="str">
        <x:v>0.1–0.25秒。与确认音明显区分</x:v>
      </x:c>
      <x:c r="I27" s="10" t="str">
        <x:v>21天基础项。可与关闭面板声复用</x:v>
      </x:c>
      <x:c r="J27" s="11" t="str">
        <x:v>S09</x:v>
      </x:c>
    </x:row>
    <x:row r="28" ht="44" customHeight="1">
      <x:c r="A28" s="9" t="str">
        <x:v>T1</x:v>
      </x:c>
      <x:c r="B28" s="9" t="str">
        <x:v>FX-022</x:v>
      </x:c>
      <x:c r="C28" s="9" t="str">
        <x:v>UI</x:v>
      </x:c>
      <x:c r="D28" s="8" t="str">
        <x:v>键盘手柄焦点移动</x:v>
      </x:c>
      <x:c r="E28" s="12" t="str">
        <x:v>标题、设置、背包、对话选项和战斗菜单</x:v>
      </x:c>
      <x:c r="F28" s="12" t="str">
        <x:v>焦点从一个可用控件移动到另一个</x:v>
      </x:c>
      <x:c r="G28" s="12" t="str">
        <x:v>帮助键盘手柄导航，画面仍有选中提示</x:v>
      </x:c>
      <x:c r="H28" s="12" t="str">
        <x:v>0.05–0.15秒。低音量，连续移动限频</x:v>
      </x:c>
      <x:c r="I28" s="12" t="str">
        <x:v>21天基础项。鼠标单纯悬停另列T2</x:v>
      </x:c>
      <x:c r="J28" s="13" t="str">
        <x:v>S09</x:v>
      </x:c>
    </x:row>
    <x:row r="29" ht="44" customHeight="1">
      <x:c r="A29" s="9" t="str">
        <x:v>T1</x:v>
      </x:c>
      <x:c r="B29" s="9" t="str">
        <x:v>FX-023</x:v>
      </x:c>
      <x:c r="C29" s="9" t="str">
        <x:v>UI</x:v>
      </x:c>
      <x:c r="D29" s="8" t="str">
        <x:v>面板打开</x:v>
      </x:c>
      <x:c r="E29" s="10" t="str">
        <x:v>暂停、背包、任务、设置和台词记录</x:v>
      </x:c>
      <x:c r="F29" s="10" t="str">
        <x:v>面板完成打开</x:v>
      </x:c>
      <x:c r="G29" s="10" t="str">
        <x:v>基础界面反馈，缺失不改变操作结果</x:v>
      </x:c>
      <x:c r="H29" s="10" t="str">
        <x:v>0.1–0.3秒。轻纸张或木质动作声</x:v>
      </x:c>
      <x:c r="I29" s="10" t="str">
        <x:v>21天基础项。多个面板复用</x:v>
      </x:c>
      <x:c r="J29" s="11" t="str">
        <x:v>S09/S10</x:v>
      </x:c>
    </x:row>
    <x:row r="30" ht="44" customHeight="1">
      <x:c r="A30" s="9" t="str">
        <x:v>T1</x:v>
      </x:c>
      <x:c r="B30" s="9" t="str">
        <x:v>FX-024</x:v>
      </x:c>
      <x:c r="C30" s="9" t="str">
        <x:v>UI</x:v>
      </x:c>
      <x:c r="D30" s="8" t="str">
        <x:v>面板关闭</x:v>
      </x:c>
      <x:c r="E30" s="12" t="str">
        <x:v>暂停、背包、任务、设置和台词记录</x:v>
      </x:c>
      <x:c r="F30" s="12" t="str">
        <x:v>面板关闭回到上一界面或探索</x:v>
      </x:c>
      <x:c r="G30" s="12" t="str">
        <x:v>补足界面开合体验，可与取消音复用</x:v>
      </x:c>
      <x:c r="H30" s="12" t="str">
        <x:v>0.1–0.3秒。可由打开声做简化变化</x:v>
      </x:c>
      <x:c r="I30" s="12" t="str">
        <x:v>21天基础项。避免与返回音同时重复播放</x:v>
      </x:c>
      <x:c r="J30" s="13" t="str">
        <x:v>S09/S10</x:v>
      </x:c>
    </x:row>
    <x:row r="31" ht="44" customHeight="1">
      <x:c r="A31" s="9" t="str">
        <x:v>T1</x:v>
      </x:c>
      <x:c r="B31" s="9" t="str">
        <x:v>FX-025</x:v>
      </x:c>
      <x:c r="C31" s="9" t="str">
        <x:v>UI</x:v>
      </x:c>
      <x:c r="D31" s="8" t="str">
        <x:v>分页或筛选切换</x:v>
      </x:c>
      <x:c r="E31" s="10" t="str">
        <x:v>背包全部、物品、线索筛选；记录列表翻页</x:v>
      </x:c>
      <x:c r="F31" s="10" t="str">
        <x:v>切换有效分页或筛选</x:v>
      </x:c>
      <x:c r="G31" s="10" t="str">
        <x:v>基本信息操作反馈，不影响内容阅读</x:v>
      </x:c>
      <x:c r="H31" s="10" t="str">
        <x:v>0.08–0.2秒。沿用导航音即可</x:v>
      </x:c>
      <x:c r="I31" s="10" t="str">
        <x:v>21天基础项。优先复用</x:v>
      </x:c>
      <x:c r="J31" s="11" t="str">
        <x:v>S09</x:v>
      </x:c>
    </x:row>
    <x:row r="32" ht="44" customHeight="1">
      <x:c r="A32" s="9" t="str">
        <x:v>T1</x:v>
      </x:c>
      <x:c r="B32" s="9" t="str">
        <x:v>FX-026</x:v>
      </x:c>
      <x:c r="C32" s="9" t="str">
        <x:v>角色</x:v>
      </x:c>
      <x:c r="D32" s="8" t="str">
        <x:v>玩家普通脚步</x:v>
      </x:c>
      <x:c r="E32" s="12" t="str">
        <x:v>序章及阶段一坊市普通行走</x:v>
      </x:c>
      <x:c r="F32" s="12" t="str">
        <x:v>角色移动并到达落脚点</x:v>
      </x:c>
      <x:c r="G32" s="12" t="str">
        <x:v>基础移动触感，画面可提供主要位移信息</x:v>
      </x:c>
      <x:c r="H32" s="12" t="str">
        <x:v>3个短变体。先做一种通用硬地落脚声</x:v>
      </x:c>
      <x:c r="I32" s="12" t="str">
        <x:v>21天基础项。静止和世界暂停时停止</x:v>
      </x:c>
      <x:c r="J32" s="13" t="str">
        <x:v>S03/S05/S09</x:v>
      </x:c>
    </x:row>
    <x:row r="33" ht="44" customHeight="1">
      <x:c r="A33" s="9" t="str">
        <x:v>T1</x:v>
      </x:c>
      <x:c r="B33" s="9" t="str">
        <x:v>FX-027</x:v>
      </x:c>
      <x:c r="C33" s="9" t="str">
        <x:v>角色</x:v>
      </x:c>
      <x:c r="D33" s="8" t="str">
        <x:v>玩家跑步脚步</x:v>
      </x:c>
      <x:c r="E33" s="10" t="str">
        <x:v>序章逃脱；阶段一奔跑或追逐</x:v>
      </x:c>
      <x:c r="F33" s="10" t="str">
        <x:v>玩家跑动时按落脚节奏触发</x:v>
      </x:c>
      <x:c r="G33" s="10" t="str">
        <x:v>加强速度与动作反馈，优先复用普通脚步</x:v>
      </x:c>
      <x:c r="H33" s="10" t="str">
        <x:v>复用普通脚步变体，调整节奏和力度</x:v>
      </x:c>
      <x:c r="I33" s="10" t="str">
        <x:v>21天基础项。避免另做整套素材</x:v>
      </x:c>
      <x:c r="J33" s="11" t="str">
        <x:v>S03/S05/S09</x:v>
      </x:c>
    </x:row>
    <x:row r="34" ht="44" customHeight="1">
      <x:c r="A34" s="9" t="str">
        <x:v>T1</x:v>
      </x:c>
      <x:c r="B34" s="9" t="str">
        <x:v>FX-028</x:v>
      </x:c>
      <x:c r="C34" s="9" t="str">
        <x:v>角色</x:v>
      </x:c>
      <x:c r="D34" s="8" t="str">
        <x:v>玩家静步脚步</x:v>
      </x:c>
      <x:c r="E34" s="12" t="str">
        <x:v>绕背暗杀、掩体接近和附身前的潜行</x:v>
      </x:c>
      <x:c r="F34" s="12" t="str">
        <x:v>玩家处于潜行并发生实际位移</x:v>
      </x:c>
      <x:c r="G34" s="12" t="str">
        <x:v>让静步与普通移动有基本听感差异</x:v>
      </x:c>
      <x:c r="H34" s="12" t="str">
        <x:v>复用脚步，降低音量与冲击感</x:v>
      </x:c>
      <x:c r="I34" s="12" t="str">
        <x:v>21天基础项。声音表现不自动增加敌人听觉规则</x:v>
      </x:c>
      <x:c r="J34" s="13" t="str">
        <x:v>S03/S05</x:v>
      </x:c>
    </x:row>
    <x:row r="35" ht="44" customHeight="1">
      <x:c r="A35" s="9" t="str">
        <x:v>T1</x:v>
      </x:c>
      <x:c r="B35" s="9" t="str">
        <x:v>FX-029</x:v>
      </x:c>
      <x:c r="C35" s="9" t="str">
        <x:v>角色</x:v>
      </x:c>
      <x:c r="D35" s="8" t="str">
        <x:v>巡逻者脚步</x:v>
      </x:c>
      <x:c r="E35" s="10" t="str">
        <x:v>坊市巡逻怪；戏班巡逻学徒；酒肆顾客</x:v>
      </x:c>
      <x:c r="F35" s="10" t="str">
        <x:v>巡逻者移动时触发落脚声</x:v>
      </x:c>
      <x:c r="G35" s="10" t="str">
        <x:v>帮助感知附近角色移动，视觉仍是主要感知方式</x:v>
      </x:c>
      <x:c r="H35" s="10" t="str">
        <x:v>2–3个变体，较玩家脚步弱</x:v>
      </x:c>
      <x:c r="I35" s="10" t="str">
        <x:v>21天基础项。方向与距离表现需要接入支持</x:v>
      </x:c>
      <x:c r="J35" s="11" t="str">
        <x:v>S04/S05</x:v>
      </x:c>
    </x:row>
    <x:row r="36" ht="44" customHeight="1">
      <x:c r="A36" s="9" t="str">
        <x:v>T1</x:v>
      </x:c>
      <x:c r="B36" s="9" t="str">
        <x:v>FX-030</x:v>
      </x:c>
      <x:c r="C36" s="9" t="str">
        <x:v>潜行</x:v>
      </x:c>
      <x:c r="D36" s="8" t="str">
        <x:v>进入或退出潜行</x:v>
      </x:c>
      <x:c r="E36" s="12" t="str">
        <x:v>序章静步教学；阶段一绕背和掩体区域</x:v>
      </x:c>
      <x:c r="F36" s="12" t="str">
        <x:v>玩家实际切换潜行状态</x:v>
      </x:c>
      <x:c r="G36" s="12" t="str">
        <x:v>补足姿态变化，主要状态仍有视觉反馈</x:v>
      </x:c>
      <x:c r="H36" s="12" t="str">
        <x:v>0.1–0.3秒衣料和重心变化</x:v>
      </x:c>
      <x:c r="I36" s="12" t="str">
        <x:v>21天基础项。进入、退出可共用</x:v>
      </x:c>
      <x:c r="J36" s="13" t="str">
        <x:v>S03/S05</x:v>
      </x:c>
    </x:row>
    <x:row r="37" ht="44" customHeight="1">
      <x:c r="A37" s="9" t="str">
        <x:v>T1</x:v>
      </x:c>
      <x:c r="B37" s="9" t="str">
        <x:v>FX-031</x:v>
      </x:c>
      <x:c r="C37" s="9" t="str">
        <x:v>潜行</x:v>
      </x:c>
      <x:c r="D37" s="8" t="str">
        <x:v>危险解除</x:v>
      </x:c>
      <x:c r="E37" s="10" t="str">
        <x:v>阶段一警戒下降后恢复巡逻；追逐成功脱离</x:v>
      </x:c>
      <x:c r="F37" s="10" t="str">
        <x:v>危险状态确实结束</x:v>
      </x:c>
      <x:c r="G37" s="10" t="str">
        <x:v>辅助判断安全恢复，停止危险循环也能传达部分信息</x:v>
      </x:c>
      <x:c r="H37" s="10" t="str">
        <x:v>0.3–0.7秒轻缓收束</x:v>
      </x:c>
      <x:c r="I37" s="10" t="str">
        <x:v>21天基础项。和追逐循环停止同步</x:v>
      </x:c>
      <x:c r="J37" s="11" t="str">
        <x:v>S05</x:v>
      </x:c>
    </x:row>
    <x:row r="38" ht="44" customHeight="1">
      <x:c r="A38" s="9" t="str">
        <x:v>T1</x:v>
      </x:c>
      <x:c r="B38" s="9" t="str">
        <x:v>FX-032</x:v>
      </x:c>
      <x:c r="C38" s="9" t="str">
        <x:v>交互</x:v>
      </x:c>
      <x:c r="D38" s="8" t="str">
        <x:v>物资箱开启</x:v>
      </x:c>
      <x:c r="E38" s="12" t="str">
        <x:v>序章或阶段一如沿用现有物资箱流程</x:v>
      </x:c>
      <x:c r="F38" s="12" t="str">
        <x:v>箱子成功从关闭变为打开</x:v>
      </x:c>
      <x:c r="G38" s="12" t="str">
        <x:v>基础物件动作声，结果也可从箱体和奖励看见</x:v>
      </x:c>
      <x:c r="H38" s="12" t="str">
        <x:v>0.3–0.7秒木箱开启声</x:v>
      </x:c>
      <x:c r="I38" s="12" t="str">
        <x:v>关卡保留物资箱时使用。现有Loot能力可复用</x:v>
      </x:c>
      <x:c r="J38" s="13" t="str">
        <x:v>S09</x:v>
      </x:c>
    </x:row>
    <x:row r="39" ht="44" customHeight="1">
      <x:c r="A39" s="9" t="str">
        <x:v>T1</x:v>
      </x:c>
      <x:c r="B39" s="9" t="str">
        <x:v>FX-033</x:v>
      </x:c>
      <x:c r="C39" s="9" t="str">
        <x:v>交互</x:v>
      </x:c>
      <x:c r="D39" s="8" t="str">
        <x:v>普通物品拾取</x:v>
      </x:c>
      <x:c r="E39" s="10" t="str">
        <x:v>阶段一普通道具和非关键物资</x:v>
      </x:c>
      <x:c r="F39" s="10" t="str">
        <x:v>普通奖励成功加入背包</x:v>
      </x:c>
      <x:c r="G39" s="10" t="str">
        <x:v>基础奖励反馈，关键物品已有T0提示</x:v>
      </x:c>
      <x:c r="H39" s="10" t="str">
        <x:v>0.15–0.4秒。弱于关键奖励音</x:v>
      </x:c>
      <x:c r="I39" s="10" t="str">
        <x:v>21天基础项。多个物品复用</x:v>
      </x:c>
      <x:c r="J39" s="11" t="str">
        <x:v>S09</x:v>
      </x:c>
    </x:row>
    <x:row r="40" ht="44" customHeight="1">
      <x:c r="A40" s="9" t="str">
        <x:v>T1</x:v>
      </x:c>
      <x:c r="B40" s="9" t="str">
        <x:v>FX-034</x:v>
      </x:c>
      <x:c r="C40" s="9" t="str">
        <x:v>交互</x:v>
      </x:c>
      <x:c r="D40" s="8" t="str">
        <x:v>道具使用成功</x:v>
      </x:c>
      <x:c r="E40" s="12" t="str">
        <x:v>阶段一战斗使用道具或探索使用通行物</x:v>
      </x:c>
      <x:c r="F40" s="12" t="str">
        <x:v>道具使用生效并结算消耗</x:v>
      </x:c>
      <x:c r="G40" s="12" t="str">
        <x:v>基本使用反馈，效果和数量仍有界面显示</x:v>
      </x:c>
      <x:c r="H40" s="12" t="str">
        <x:v>0.2–0.6秒通用使用声</x:v>
      </x:c>
      <x:c r="I40" s="12" t="str">
        <x:v>按实际道具规则接入。特定道具细节可后补</x:v>
      </x:c>
      <x:c r="J40" s="13" t="str">
        <x:v>S04/S06/S09</x:v>
      </x:c>
    </x:row>
    <x:row r="41" ht="44" customHeight="1">
      <x:c r="A41" s="9" t="str">
        <x:v>T1</x:v>
      </x:c>
      <x:c r="B41" s="9" t="str">
        <x:v>FX-035</x:v>
      </x:c>
      <x:c r="C41" s="9" t="str">
        <x:v>调查</x:v>
      </x:c>
      <x:c r="D41" s="8" t="str">
        <x:v>对话继续</x:v>
      </x:c>
      <x:c r="E41" s="10" t="str">
        <x:v>衣肆身份推理、客栈线索、戏班指派、酒肆劝酒</x:v>
      </x:c>
      <x:c r="F41" s="10" t="str">
        <x:v>完成当前句后，玩家主动推进到下一句</x:v>
      </x:c>
      <x:c r="G41" s="10" t="str">
        <x:v>基本阅读操作反馈，缺失仍可阅读</x:v>
      </x:c>
      <x:c r="H41" s="10" t="str">
        <x:v>0.05–0.15秒。可复用UI导航，避免自动播放逐句响</x:v>
      </x:c>
      <x:c r="I41" s="10" t="str">
        <x:v>21天基础项。快速跳过时不连续堆音</x:v>
      </x:c>
      <x:c r="J41" s="11" t="str">
        <x:v>S04/S09/S10</x:v>
      </x:c>
    </x:row>
    <x:row r="42" ht="44" customHeight="1">
      <x:c r="A42" s="9" t="str">
        <x:v>T1</x:v>
      </x:c>
      <x:c r="B42" s="9" t="str">
        <x:v>FX-036</x:v>
      </x:c>
      <x:c r="C42" s="9" t="str">
        <x:v>调查</x:v>
      </x:c>
      <x:c r="D42" s="8" t="str">
        <x:v>文书翻页</x:v>
      </x:c>
      <x:c r="E42" s="12" t="str">
        <x:v>金银行拨料文书；阶段一如有线索或文书查看</x:v>
      </x:c>
      <x:c r="F42" s="12" t="str">
        <x:v>翻开文书或切换一页</x:v>
      </x:c>
      <x:c r="G42" s="12" t="str">
        <x:v>纸质调查的基本触感，文字是主要信息载体</x:v>
      </x:c>
      <x:c r="H42" s="12" t="str">
        <x:v>0.2–0.5秒纸张翻动，2个轻微变体</x:v>
      </x:c>
      <x:c r="I42" s="12" t="str">
        <x:v>21天基础项。后续账簿继续复用</x:v>
      </x:c>
      <x:c r="J42" s="13" t="str">
        <x:v>S04/S08</x:v>
      </x:c>
    </x:row>
    <x:row r="43" ht="44" customHeight="1">
      <x:c r="A43" s="9" t="str">
        <x:v>T1</x:v>
      </x:c>
      <x:c r="B43" s="9" t="str">
        <x:v>FX-037</x:v>
      </x:c>
      <x:c r="C43" s="9" t="str">
        <x:v>调查</x:v>
      </x:c>
      <x:c r="D43" s="8" t="str">
        <x:v>文书修改或线索记录</x:v>
      </x:c>
      <x:c r="E43" s="10" t="str">
        <x:v>官证修改拨料文书；已确认线索写入记录</x:v>
      </x:c>
      <x:c r="F43" s="10" t="str">
        <x:v>修改成功或新记录被保存到游戏进度</x:v>
      </x:c>
      <x:c r="G43" s="10" t="str">
        <x:v>基本记录反馈，内容和进度可从界面读取</x:v>
      </x:c>
      <x:c r="H43" s="10" t="str">
        <x:v>0.2–0.6秒笔墨或短纸张声</x:v>
      </x:c>
      <x:c r="I43" s="10" t="str">
        <x:v>21天基础项。记录动作与关键获得提示避免重复</x:v>
      </x:c>
      <x:c r="J43" s="11" t="str">
        <x:v>S04/S08/S09</x:v>
      </x:c>
    </x:row>
    <x:row r="44" ht="44" customHeight="1">
      <x:c r="A44" s="9" t="str">
        <x:v>T1</x:v>
      </x:c>
      <x:c r="B44" s="9" t="str">
        <x:v>FX-038</x:v>
      </x:c>
      <x:c r="C44" s="9" t="str">
        <x:v>UI</x:v>
      </x:c>
      <x:c r="D44" s="8" t="str">
        <x:v>任务接取</x:v>
      </x:c>
      <x:c r="E44" s="12" t="str">
        <x:v>序章教学任务；阶段一主线目标开始</x:v>
      </x:c>
      <x:c r="F44" s="12" t="str">
        <x:v>任务真正进入进行状态</x:v>
      </x:c>
      <x:c r="G44" s="12" t="str">
        <x:v>明确新目标出现，任务界面仍可承载信息</x:v>
      </x:c>
      <x:c r="H44" s="12" t="str">
        <x:v>0.3–0.7秒短提示</x:v>
      </x:c>
      <x:c r="I44" s="12" t="str">
        <x:v>21天基础项。可复用奖励素材的弱版本</x:v>
      </x:c>
      <x:c r="J44" s="13" t="str">
        <x:v>S02/S09</x:v>
      </x:c>
    </x:row>
    <x:row r="45" ht="44" customHeight="1">
      <x:c r="A45" s="9" t="str">
        <x:v>T1</x:v>
      </x:c>
      <x:c r="B45" s="9" t="str">
        <x:v>FX-039</x:v>
      </x:c>
      <x:c r="C45" s="9" t="str">
        <x:v>UI</x:v>
      </x:c>
      <x:c r="D45" s="8" t="str">
        <x:v>任务目标更新</x:v>
      </x:c>
      <x:c r="E45" s="10" t="str">
        <x:v>五个场景内的交谈、打造、取衣等目标推进</x:v>
      </x:c>
      <x:c r="F45" s="10" t="str">
        <x:v>目标完成并切换到下一目标</x:v>
      </x:c>
      <x:c r="G45" s="10" t="str">
        <x:v>补足阶段性进展，缺失不阻断游玩</x:v>
      </x:c>
      <x:c r="H45" s="10" t="str">
        <x:v>0.2–0.5秒。比完成整项任务更轻</x:v>
      </x:c>
      <x:c r="I45" s="10" t="str">
        <x:v>21天基础项。合并同一时刻的重复更新</x:v>
      </x:c>
      <x:c r="J45" s="11" t="str">
        <x:v>S04/S09</x:v>
      </x:c>
    </x:row>
    <x:row r="46" ht="44" customHeight="1">
      <x:c r="A46" s="9" t="str">
        <x:v>T1</x:v>
      </x:c>
      <x:c r="B46" s="9" t="str">
        <x:v>FX-040</x:v>
      </x:c>
      <x:c r="C46" s="9" t="str">
        <x:v>UI</x:v>
      </x:c>
      <x:c r="D46" s="8" t="str">
        <x:v>任务完成</x:v>
      </x:c>
      <x:c r="E46" s="12" t="str">
        <x:v>序章教学结束；阶段一场景任务完成</x:v>
      </x:c>
      <x:c r="F46" s="12" t="str">
        <x:v>任务完整完成并显示通知</x:v>
      </x:c>
      <x:c r="G46" s="12" t="str">
        <x:v>基础完成感，剧情进度有文字提示</x:v>
      </x:c>
      <x:c r="H46" s="12" t="str">
        <x:v>0.5–0.9秒。通用完成短音</x:v>
      </x:c>
      <x:c r="I46" s="12" t="str">
        <x:v>21天基础项。可与谜题完成复用</x:v>
      </x:c>
      <x:c r="J46" s="13" t="str">
        <x:v>S02/S04/S09</x:v>
      </x:c>
    </x:row>
    <x:row r="47" ht="44" customHeight="1">
      <x:c r="A47" s="9" t="str">
        <x:v>T1</x:v>
      </x:c>
      <x:c r="B47" s="9" t="str">
        <x:v>FX-041</x:v>
      </x:c>
      <x:c r="C47" s="9" t="str">
        <x:v>战斗</x:v>
      </x:c>
      <x:c r="D47" s="8" t="str">
        <x:v>进入回合制战斗</x:v>
      </x:c>
      <x:c r="E47" s="10" t="str">
        <x:v>阶段一酒肆BOSS，对话后转入战斗场景</x:v>
      </x:c>
      <x:c r="F47" s="10" t="str">
        <x:v>战斗正式开始并切换场景</x:v>
      </x:c>
      <x:c r="G47" s="10" t="str">
        <x:v>补足探索与战斗的切换反馈</x:v>
      </x:c>
      <x:c r="H47" s="10" t="str">
        <x:v>0.4–1秒进入短音，避开开场台词</x:v>
      </x:c>
      <x:c r="I47" s="10" t="str">
        <x:v>21天基础项。偷袭和被打的区别先由规则表现</x:v>
      </x:c>
      <x:c r="J47" s="11" t="str">
        <x:v>S06/S09</x:v>
      </x:c>
    </x:row>
    <x:row r="48" ht="44" customHeight="1">
      <x:c r="A48" s="9" t="str">
        <x:v>T1</x:v>
      </x:c>
      <x:c r="B48" s="9" t="str">
        <x:v>FX-042</x:v>
      </x:c>
      <x:c r="C48" s="9" t="str">
        <x:v>战斗</x:v>
      </x:c>
      <x:c r="D48" s="8" t="str">
        <x:v>战斗退场</x:v>
      </x:c>
      <x:c r="E48" s="12" t="str">
        <x:v>阶段一BOSS战结束，返回探索场景</x:v>
      </x:c>
      <x:c r="F48" s="12" t="str">
        <x:v>战斗场景退出并恢复世界</x:v>
      </x:c>
      <x:c r="G48" s="12" t="str">
        <x:v>基础流程反馈，胜负已有T0声音</x:v>
      </x:c>
      <x:c r="H48" s="12" t="str">
        <x:v>0.3–0.7秒过渡声</x:v>
      </x:c>
      <x:c r="I48" s="12" t="str">
        <x:v>21天基础项。优先与转场通用素材复用</x:v>
      </x:c>
      <x:c r="J48" s="13" t="str">
        <x:v>S06/S09</x:v>
      </x:c>
    </x:row>
    <x:row r="49" ht="44" customHeight="1">
      <x:c r="A49" s="9" t="str">
        <x:v>T1</x:v>
      </x:c>
      <x:c r="B49" s="9" t="str">
        <x:v>FX-043</x:v>
      </x:c>
      <x:c r="C49" s="9" t="str">
        <x:v>战斗</x:v>
      </x:c>
      <x:c r="D49" s="8" t="str">
        <x:v>攻击挥动或闪身</x:v>
      </x:c>
      <x:c r="E49" s="10" t="str">
        <x:v>阶段一玩家招式1、BOSS普通攻击</x:v>
      </x:c>
      <x:c r="F49" s="10" t="str">
        <x:v>出招动作开始、位移或挥击通过空气</x:v>
      </x:c>
      <x:c r="G49" s="10" t="str">
        <x:v>补足动作连贯性，核心命中已有T0反馈</x:v>
      </x:c>
      <x:c r="H49" s="10" t="str">
        <x:v>0.1–0.35秒短挥动，和命中声分开</x:v>
      </x:c>
      <x:c r="I49" s="10" t="str">
        <x:v>21天基础项。先做通用版本</x:v>
      </x:c>
      <x:c r="J49" s="11" t="str">
        <x:v>S05/S06</x:v>
      </x:c>
    </x:row>
    <x:row r="50" ht="44" customHeight="1">
      <x:c r="A50" s="9" t="str">
        <x:v>T1</x:v>
      </x:c>
      <x:c r="B50" s="9" t="str">
        <x:v>FX-044</x:v>
      </x:c>
      <x:c r="C50" s="9" t="str">
        <x:v>战斗</x:v>
      </x:c>
      <x:c r="D50" s="8" t="str">
        <x:v>重击蓄力</x:v>
      </x:c>
      <x:c r="E50" s="12" t="str">
        <x:v>阶段一玩家招式2</x:v>
      </x:c>
      <x:c r="F50" s="12" t="str">
        <x:v>蓄力动作开始，直到重击释放</x:v>
      </x:c>
      <x:c r="G50" s="12" t="str">
        <x:v>区分招式强度，缺失仍有动画和消耗显示</x:v>
      </x:c>
      <x:c r="H50" s="12" t="str">
        <x:v>0.2–0.6秒蓄势。可与重击层复用</x:v>
      </x:c>
      <x:c r="I50" s="12" t="str">
        <x:v>保留招式2时使用</x:v>
      </x:c>
      <x:c r="J50" s="13" t="str">
        <x:v>S06</x:v>
      </x:c>
    </x:row>
    <x:row r="51" ht="44" customHeight="1">
      <x:c r="A51" s="9" t="str">
        <x:v>T1</x:v>
      </x:c>
      <x:c r="B51" s="9" t="str">
        <x:v>FX-045</x:v>
      </x:c>
      <x:c r="C51" s="9" t="str">
        <x:v>战斗</x:v>
      </x:c>
      <x:c r="D51" s="8" t="str">
        <x:v>重击命中差异层</x:v>
      </x:c>
      <x:c r="E51" s="10" t="str">
        <x:v>阶段一玩家招式2、BOSS高额伤害招式</x:v>
      </x:c>
      <x:c r="F51" s="10" t="str">
        <x:v>重击实际命中</x:v>
      </x:c>
      <x:c r="G51" s="10" t="str">
        <x:v>增强轻重击区分，T0通用命中足以传达结果</x:v>
      </x:c>
      <x:c r="H51" s="10" t="str">
        <x:v>在通用命中上增加低频或金属层</x:v>
      </x:c>
      <x:c r="I51" s="10" t="str">
        <x:v>21天基础项。优先由通用命中派生</x:v>
      </x:c>
      <x:c r="J51" s="11" t="str">
        <x:v>S06</x:v>
      </x:c>
    </x:row>
    <x:row r="52" ht="44" customHeight="1">
      <x:c r="A52" s="9" t="str">
        <x:v>T1</x:v>
      </x:c>
      <x:c r="B52" s="9" t="str">
        <x:v>FX-046</x:v>
      </x:c>
      <x:c r="C52" s="9" t="str">
        <x:v>战斗</x:v>
      </x:c>
      <x:c r="D52" s="8" t="str">
        <x:v>终结招式穿刺层</x:v>
      </x:c>
      <x:c r="E52" s="12" t="str">
        <x:v>阶段一玩家招式3</x:v>
      </x:c>
      <x:c r="F52" s="12" t="str">
        <x:v>招式3刺入并产生伤害</x:v>
      </x:c>
      <x:c r="G52" s="12" t="str">
        <x:v>提供大招区别，基本伤害已有通用命中</x:v>
      </x:c>
      <x:c r="H52" s="12" t="str">
        <x:v>0.2–0.6秒短穿刺，避免长特效盖住后续回合</x:v>
      </x:c>
      <x:c r="I52" s="12" t="str">
        <x:v>保留招式3时使用</x:v>
      </x:c>
      <x:c r="J52" s="13" t="str">
        <x:v>S06</x:v>
      </x:c>
    </x:row>
    <x:row r="53" ht="44" customHeight="1">
      <x:c r="A53" s="9" t="str">
        <x:v>T1</x:v>
      </x:c>
      <x:c r="B53" s="9" t="str">
        <x:v>FX-047</x:v>
      </x:c>
      <x:c r="C53" s="9" t="str">
        <x:v>战斗</x:v>
      </x:c>
      <x:c r="D53" s="8" t="str">
        <x:v>怒气满值</x:v>
      </x:c>
      <x:c r="E53" s="10" t="str">
        <x:v>阶段一玩家达到3点怒气</x:v>
      </x:c>
      <x:c r="F53" s="10" t="str">
        <x:v>怒气第一次由未满变为满值</x:v>
      </x:c>
      <x:c r="G53" s="10" t="str">
        <x:v>辅助理解招式解锁，怒气槽也有视觉变化</x:v>
      </x:c>
      <x:c r="H53" s="10" t="str">
        <x:v>0.2–0.5秒短提示</x:v>
      </x:c>
      <x:c r="I53" s="10" t="str">
        <x:v>21天基础项。满值保持期间不重复</x:v>
      </x:c>
      <x:c r="J53" s="11" t="str">
        <x:v>S06</x:v>
      </x:c>
    </x:row>
    <x:row r="54" ht="44" customHeight="1">
      <x:c r="A54" s="9" t="str">
        <x:v>T1</x:v>
      </x:c>
      <x:c r="B54" s="9" t="str">
        <x:v>FX-048</x:v>
      </x:c>
      <x:c r="C54" s="9" t="str">
        <x:v>战斗</x:v>
      </x:c>
      <x:c r="D54" s="8" t="str">
        <x:v>治疗或增益生效</x:v>
      </x:c>
      <x:c r="E54" s="12" t="str">
        <x:v>阶段一道具治疗；BOSS饮酒回复与强化</x:v>
      </x:c>
      <x:c r="F54" s="12" t="str">
        <x:v>治疗或增益效果被正式施加</x:v>
      </x:c>
      <x:c r="G54" s="12" t="str">
        <x:v>基本状态反馈，数值和状态仍显示在界面</x:v>
      </x:c>
      <x:c r="H54" s="12" t="str">
        <x:v>0.3–0.7秒通用正向状态短音</x:v>
      </x:c>
      <x:c r="I54" s="12" t="str">
        <x:v>21天基础项。玩家与BOSS先共用</x:v>
      </x:c>
      <x:c r="J54" s="13" t="str">
        <x:v>S06</x:v>
      </x:c>
    </x:row>
    <x:row r="55" ht="44" customHeight="1">
      <x:c r="A55" s="9" t="str">
        <x:v>T1</x:v>
      </x:c>
      <x:c r="B55" s="9" t="str">
        <x:v>FX-049</x:v>
      </x:c>
      <x:c r="C55" s="9" t="str">
        <x:v>战斗</x:v>
      </x:c>
      <x:c r="D55" s="8" t="str">
        <x:v>醉酒导致跳过回合</x:v>
      </x:c>
      <x:c r="E55" s="10" t="str">
        <x:v>阶段一BOSS微醺、薄醉、酩酊状态</x:v>
      </x:c>
      <x:c r="F55" s="10" t="str">
        <x:v>系统判定BOSS本回合无法行动</x:v>
      </x:c>
      <x:c r="G55" s="10" t="str">
        <x:v>帮助解释等待或未出招，文字提示仍可说明</x:v>
      </x:c>
      <x:c r="H55" s="10" t="str">
        <x:v>0.2–0.5秒失衡或短闷响</x:v>
      </x:c>
      <x:c r="I55" s="10" t="str">
        <x:v>保留醉酒回合机制时使用</x:v>
      </x:c>
      <x:c r="J55" s="11" t="str">
        <x:v>S06</x:v>
      </x:c>
    </x:row>
    <x:row r="56" ht="44" customHeight="1">
      <x:c r="A56" s="9" t="str">
        <x:v>T1</x:v>
      </x:c>
      <x:c r="B56" s="9" t="str">
        <x:v>FX-050</x:v>
      </x:c>
      <x:c r="C56" s="9" t="str">
        <x:v>小游戏</x:v>
      </x:c>
      <x:c r="D56" s="8" t="str">
        <x:v>打造完成或提交</x:v>
      </x:c>
      <x:c r="E56" s="12" t="str">
        <x:v>金银行完成单件首饰、金钥匙或提交任务</x:v>
      </x:c>
      <x:c r="F56" s="12" t="str">
        <x:v>单件制作成功，或最终提交通过</x:v>
      </x:c>
      <x:c r="G56" s="12" t="str">
        <x:v>基本完工反馈，关键金钥匙已有T0获得音</x:v>
      </x:c>
      <x:c r="H56" s="12" t="str">
        <x:v>0.3–0.8秒金属收束，可与任务完成复用</x:v>
      </x:c>
      <x:c r="I56" s="12" t="str">
        <x:v>保留打造时使用。最终提交与奖励音择一或错开</x:v>
      </x:c>
      <x:c r="J56" s="13" t="str">
        <x:v>S04/S08</x:v>
      </x:c>
    </x:row>
    <x:row r="57" ht="44" customHeight="1">
      <x:c r="A57" s="9" t="str">
        <x:v>T1</x:v>
      </x:c>
      <x:c r="B57" s="9" t="str">
        <x:v>FX-051</x:v>
      </x:c>
      <x:c r="C57" s="9" t="str">
        <x:v>小游戏</x:v>
      </x:c>
      <x:c r="D57" s="8" t="str">
        <x:v>音乐解谜错误点击</x:v>
      </x:c>
      <x:c r="E57" s="10" t="str">
        <x:v>阶段一戏班，有效身份下出现真实错误判定</x:v>
      </x:c>
      <x:c r="F57" s="10" t="str">
        <x:v>系统明确判错</x:v>
      </x:c>
      <x:c r="G57" s="10" t="str">
        <x:v>补足错误反馈，优先级低于正确点击的动作手感</x:v>
      </x:c>
      <x:c r="H57" s="10" t="str">
        <x:v>0.08–0.2秒轻错音，不盖住下一次音乐提示</x:v>
      </x:c>
      <x:c r="I57" s="10" t="str">
        <x:v>点错和非正确身份的规则待确认，确认后接入</x:v>
      </x:c>
      <x:c r="J57" s="11" t="str">
        <x:v>S04/S08</x:v>
      </x:c>
    </x:row>
    <x:row r="58" ht="44" customHeight="1">
      <x:c r="A58" s="9" t="str">
        <x:v>T1</x:v>
      </x:c>
      <x:c r="B58" s="9" t="str">
        <x:v>FX-052</x:v>
      </x:c>
      <x:c r="C58" s="9" t="str">
        <x:v>小游戏</x:v>
      </x:c>
      <x:c r="D58" s="8" t="str">
        <x:v>音乐解谜完成</x:v>
      </x:c>
      <x:c r="E58" s="12" t="str">
        <x:v>阶段一戏班最后有效光点或最后正确输入</x:v>
      </x:c>
      <x:c r="F58" s="12" t="str">
        <x:v>谜题通过并结束互动</x:v>
      </x:c>
      <x:c r="G58" s="12" t="str">
        <x:v>补足解谜收束，最后特效和任务进度也能传达完成</x:v>
      </x:c>
      <x:c r="H58" s="12" t="str">
        <x:v>0.4–0.9秒短乐器收束</x:v>
      </x:c>
      <x:c r="I58" s="12" t="str">
        <x:v>保留音乐解谜时使用。可复用任务完成音</x:v>
      </x:c>
      <x:c r="J58" s="13" t="str">
        <x:v>S04/S08</x:v>
      </x:c>
    </x:row>
    <x:row r="59" ht="44" customHeight="1">
      <x:c r="A59" s="9" t="str">
        <x:v>T1</x:v>
      </x:c>
      <x:c r="B59" s="9" t="str">
        <x:v>FX-053</x:v>
      </x:c>
      <x:c r="C59" s="9" t="str">
        <x:v>交互</x:v>
      </x:c>
      <x:c r="D59" s="8" t="str">
        <x:v>倒酒</x:v>
      </x:c>
      <x:c r="E59" s="10" t="str">
        <x:v>阶段一酒肆劝酒和BOSS饮酒动作</x:v>
      </x:c>
      <x:c r="F59" s="10" t="str">
        <x:v>酒液倒入杯碗或酒坛倾倒</x:v>
      </x:c>
      <x:c r="G59" s="10" t="str">
        <x:v>阶段一特色动作的基本触感</x:v>
      </x:c>
      <x:c r="H59" s="10" t="str">
        <x:v>0.3–0.8秒液体倒入，短尾音</x:v>
      </x:c>
      <x:c r="I59" s="10" t="str">
        <x:v>保留饮酒互动时使用</x:v>
      </x:c>
      <x:c r="J59" s="11" t="str">
        <x:v>S04/S06</x:v>
      </x:c>
    </x:row>
    <x:row r="60" ht="44" customHeight="1">
      <x:c r="A60" s="9" t="str">
        <x:v>T1</x:v>
      </x:c>
      <x:c r="B60" s="9" t="str">
        <x:v>FX-054</x:v>
      </x:c>
      <x:c r="C60" s="9" t="str">
        <x:v>交互</x:v>
      </x:c>
      <x:c r="D60" s="8" t="str">
        <x:v>喝酒</x:v>
      </x:c>
      <x:c r="E60" s="12" t="str">
        <x:v>阶段一玩家、顾客和BOSS饮酒</x:v>
      </x:c>
      <x:c r="F60" s="12" t="str">
        <x:v>饮酒动作实际发生</x:v>
      </x:c>
      <x:c r="G60" s="12" t="str">
        <x:v>基本饮酒动作反馈，醉酒数值另由界面传达</x:v>
      </x:c>
      <x:c r="H60" s="12" t="str">
        <x:v>0.3–0.7秒吞咽或短饮酒声</x:v>
      </x:c>
      <x:c r="I60" s="12" t="str">
        <x:v>保留饮酒互动时使用。可共用一个版本</x:v>
      </x:c>
      <x:c r="J60" s="13" t="str">
        <x:v>S04/S06</x:v>
      </x:c>
    </x:row>
    <x:row r="61" ht="44" customHeight="1">
      <x:c r="A61" s="9" t="str">
        <x:v>T1</x:v>
      </x:c>
      <x:c r="B61" s="9" t="str">
        <x:v>FX-055</x:v>
      </x:c>
      <x:c r="C61" s="9" t="str">
        <x:v>角色</x:v>
      </x:c>
      <x:c r="D61" s="8" t="str">
        <x:v>醉酒档位变化</x:v>
      </x:c>
      <x:c r="E61" s="10" t="str">
        <x:v>阶段一酒肆玩家移动变化和BOSS醉酒状态</x:v>
      </x:c>
      <x:c r="F61" s="10" t="str">
        <x:v>醉酒效果或档位实际改变</x:v>
      </x:c>
      <x:c r="G61" s="10" t="str">
        <x:v>帮助理解移动、感知或行动变化</x:v>
      </x:c>
      <x:c r="H61" s="10" t="str">
        <x:v>0.3–0.7秒短失衡声</x:v>
      </x:c>
      <x:c r="I61" s="10" t="str">
        <x:v>醉酒两份策划口径未完全一致，以最终规则为准</x:v>
      </x:c>
      <x:c r="J61" s="11" t="str">
        <x:v>S04/S06</x:v>
      </x:c>
    </x:row>
    <x:row r="62" ht="44" customHeight="1">
      <x:c r="A62" s="9" t="str">
        <x:v>T1</x:v>
      </x:c>
      <x:c r="B62" s="9" t="str">
        <x:v>FX-056</x:v>
      </x:c>
      <x:c r="C62" s="9" t="str">
        <x:v>场景</x:v>
      </x:c>
      <x:c r="D62" s="8" t="str">
        <x:v>人间基础环境声</x:v>
      </x:c>
      <x:c r="E62" s="12" t="str">
        <x:v>序章现生一侧；阶段一入镜前的人间区域</x:v>
      </x:c>
      <x:c r="F62" s="12" t="str">
        <x:v>进入人间区域后开始循环，穿镜时淡出</x:v>
      </x:c>
      <x:c r="G62" s="12" t="str">
        <x:v>形成两界的基本听感对照，妖界基础声优先</x:v>
      </x:c>
      <x:c r="H62" s="12" t="str">
        <x:v>20–40秒风声与远处日常活动，无缝循环</x:v>
      </x:c>
      <x:c r="I62" s="12" t="str">
        <x:v>21天基础项。只覆盖本轮可玩的人间片段</x:v>
      </x:c>
      <x:c r="J62" s="13" t="str">
        <x:v>S01/S02/S03</x:v>
      </x:c>
    </x:row>
    <x:row r="63" ht="44" customHeight="1">
      <x:c r="A63" s="9" t="str">
        <x:v>T1</x:v>
      </x:c>
      <x:c r="B63" s="9" t="str">
        <x:v>FX-057</x:v>
      </x:c>
      <x:c r="C63" s="9" t="str">
        <x:v>交互</x:v>
      </x:c>
      <x:c r="D63" s="8" t="str">
        <x:v>区域入口放行</x:v>
      </x:c>
      <x:c r="E63" s="10" t="str">
        <x:v>阶段一需特定身份的店铺或酒肆入口</x:v>
      </x:c>
      <x:c r="F63" s="10" t="str">
        <x:v>核验成功，通行限制解除</x:v>
      </x:c>
      <x:c r="G63" s="10" t="str">
        <x:v>补足通行成功反馈，权限与道路变化仍可看见</x:v>
      </x:c>
      <x:c r="H63" s="10" t="str">
        <x:v>0.2–0.5秒通用放行短音</x:v>
      </x:c>
      <x:c r="I63" s="10" t="str">
        <x:v>按最终入口形式使用。没有开门动作不强加门轴声</x:v>
      </x:c>
      <x:c r="J63" s="11" t="str">
        <x:v>S03/S04/S07</x:v>
      </x:c>
    </x:row>
    <x:row r="64" ht="44" customHeight="1">
      <x:c r="A64" s="9" t="str">
        <x:v>T2</x:v>
      </x:c>
      <x:c r="B64" s="9" t="str">
        <x:v>FX-058</x:v>
      </x:c>
      <x:c r="C64" s="9" t="str">
        <x:v>UI</x:v>
      </x:c>
      <x:c r="D64" s="8" t="str">
        <x:v>鼠标悬停</x:v>
      </x:c>
      <x:c r="E64" s="12" t="str">
        <x:v>标题、设置、背包和战斗按钮</x:v>
      </x:c>
      <x:c r="F64" s="12" t="str">
        <x:v>鼠标进入新的可用按钮</x:v>
      </x:c>
      <x:c r="G64" s="12" t="str">
        <x:v>选中高亮已足够，删去不影响核心操作</x:v>
      </x:c>
      <x:c r="H64" s="12" t="str">
        <x:v>0.05–0.12秒极轻短音，限制密集触发</x:v>
      </x:c>
      <x:c r="I64" s="12" t="str">
        <x:v>同范围可删减</x:v>
      </x:c>
      <x:c r="J64" s="13" t="str">
        <x:v>S09</x:v>
      </x:c>
    </x:row>
    <x:row r="65" ht="44" customHeight="1">
      <x:c r="A65" s="9" t="str">
        <x:v>T2</x:v>
      </x:c>
      <x:c r="B65" s="9" t="str">
        <x:v>FX-059</x:v>
      </x:c>
      <x:c r="C65" s="9" t="str">
        <x:v>UI</x:v>
      </x:c>
      <x:c r="D65" s="8" t="str">
        <x:v>音量滑条刻度</x:v>
      </x:c>
      <x:c r="E65" s="10" t="str">
        <x:v>设置界面主音量、音乐、音效滑条</x:v>
      </x:c>
      <x:c r="F65" s="10" t="str">
        <x:v>拖动跨过可感知刻度</x:v>
      </x:c>
      <x:c r="G65" s="10" t="str">
        <x:v>滑条位置和实时音量已能提供反馈</x:v>
      </x:c>
      <x:c r="H65" s="10" t="str">
        <x:v>轻短刻度声，可复用导航音</x:v>
      </x:c>
      <x:c r="I65" s="10" t="str">
        <x:v>同范围可删减。静音时不强制播放</x:v>
      </x:c>
      <x:c r="J65" s="11" t="str">
        <x:v>S09/S12</x:v>
      </x:c>
    </x:row>
    <x:row r="66" ht="44" customHeight="1">
      <x:c r="A66" s="9" t="str">
        <x:v>T2</x:v>
      </x:c>
      <x:c r="B66" s="9" t="str">
        <x:v>FX-060</x:v>
      </x:c>
      <x:c r="C66" s="9" t="str">
        <x:v>UI</x:v>
      </x:c>
      <x:c r="D66" s="8" t="str">
        <x:v>存档完成提示</x:v>
      </x:c>
      <x:c r="E66" s="12" t="str">
        <x:v>阶段一安全节点自动保存或手动保存</x:v>
      </x:c>
      <x:c r="F66" s="12" t="str">
        <x:v>保存真实完成</x:v>
      </x:c>
      <x:c r="G66" s="12" t="str">
        <x:v>已有角落保存提示，声音不是核心必需</x:v>
      </x:c>
      <x:c r="H66" s="12" t="str">
        <x:v>0.15–0.4秒低强度短音</x:v>
      </x:c>
      <x:c r="I66" s="12" t="str">
        <x:v>同范围可删减。不把保存请求当成功</x:v>
      </x:c>
      <x:c r="J66" s="13" t="str">
        <x:v>S09</x:v>
      </x:c>
    </x:row>
    <x:row r="67" ht="44" customHeight="1">
      <x:c r="A67" s="9" t="str">
        <x:v>T2</x:v>
      </x:c>
      <x:c r="B67" s="9" t="str">
        <x:v>FX-061</x:v>
      </x:c>
      <x:c r="C67" s="9" t="str">
        <x:v>UI</x:v>
      </x:c>
      <x:c r="D67" s="8" t="str">
        <x:v>背包排序或列表细节</x:v>
      </x:c>
      <x:c r="E67" s="10" t="str">
        <x:v>背包筛选、滚动或物品焦点变化</x:v>
      </x:c>
      <x:c r="F67" s="10" t="str">
        <x:v>列表滚动到新项或整理操作完成</x:v>
      </x:c>
      <x:c r="G67" s="10" t="str">
        <x:v>信息仍然可见，属于操作细节</x:v>
      </x:c>
      <x:c r="H67" s="10" t="str">
        <x:v>复用导航音，避免每一像素滚动都响</x:v>
      </x:c>
      <x:c r="I67" s="10" t="str">
        <x:v>同范围可删减</x:v>
      </x:c>
      <x:c r="J67" s="11" t="str">
        <x:v>S09</x:v>
      </x:c>
    </x:row>
    <x:row r="68" ht="44" customHeight="1">
      <x:c r="A68" s="9" t="str">
        <x:v>T2</x:v>
      </x:c>
      <x:c r="B68" s="9" t="str">
        <x:v>FX-062</x:v>
      </x:c>
      <x:c r="C68" s="9" t="str">
        <x:v>调查</x:v>
      </x:c>
      <x:c r="D68" s="8" t="str">
        <x:v>对白逐字显示</x:v>
      </x:c>
      <x:c r="E68" s="12" t="str">
        <x:v>衣肆、客栈等对话框与演出字幕</x:v>
      </x:c>
      <x:c r="F68" s="12" t="str">
        <x:v>文字逐步出现</x:v>
      </x:c>
      <x:c r="G68" s="12" t="str">
        <x:v>阅读和台词推进不依赖打字声</x:v>
      </x:c>
      <x:c r="H68" s="12" t="str">
        <x:v>低强度短点音，按字符组而非每字触发</x:v>
      </x:c>
      <x:c r="I68" s="12" t="str">
        <x:v>同范围可删减。可完全关闭以保持安静</x:v>
      </x:c>
      <x:c r="J68" s="13" t="str">
        <x:v>S09/S10</x:v>
      </x:c>
    </x:row>
    <x:row r="69" ht="44" customHeight="1">
      <x:c r="A69" s="9" t="str">
        <x:v>T2</x:v>
      </x:c>
      <x:c r="B69" s="9" t="str">
        <x:v>FX-063</x:v>
      </x:c>
      <x:c r="C69" s="9" t="str">
        <x:v>演出</x:v>
      </x:c>
      <x:c r="D69" s="8" t="str">
        <x:v>角色入场或衣料动作</x:v>
      </x:c>
      <x:c r="E69" s="10" t="str">
        <x:v>序章短演出；阶段一世界舞台角色动作</x:v>
      </x:c>
      <x:c r="F69" s="10" t="str">
        <x:v>角色转身、站定或入场</x:v>
      </x:c>
      <x:c r="G69" s="10" t="str">
        <x:v>属于动作质感补充，字幕和动作本身可表达事件</x:v>
      </x:c>
      <x:c r="H69" s="10" t="str">
        <x:v>0.1–0.4秒衣料或轻落脚</x:v>
      </x:c>
      <x:c r="I69" s="10" t="str">
        <x:v>同范围可删减，优先复用脚步和衣料</x:v>
      </x:c>
      <x:c r="J69" s="11" t="str">
        <x:v>S10</x:v>
      </x:c>
    </x:row>
    <x:row r="70" ht="44" customHeight="1">
      <x:c r="A70" s="9" t="str">
        <x:v>T2</x:v>
      </x:c>
      <x:c r="B70" s="9" t="str">
        <x:v>FX-064</x:v>
      </x:c>
      <x:c r="C70" s="9" t="str">
        <x:v>交互</x:v>
      </x:c>
      <x:c r="D70" s="8" t="str">
        <x:v>衣服取走细节</x:v>
      </x:c>
      <x:c r="E70" s="12" t="str">
        <x:v>阶段一衣肆，正确顾客取走衣服</x:v>
      </x:c>
      <x:c r="F70" s="12" t="str">
        <x:v>衣服离开柜台或收进背包</x:v>
      </x:c>
      <x:c r="G70" s="12" t="str">
        <x:v>关键道具获得已由T0反馈，布料细节可省</x:v>
      </x:c>
      <x:c r="H70" s="12" t="str">
        <x:v>0.2–0.5秒布料摩擦</x:v>
      </x:c>
      <x:c r="I70" s="12" t="str">
        <x:v>同范围可删减</x:v>
      </x:c>
      <x:c r="J70" s="13" t="str">
        <x:v>S04</x:v>
      </x:c>
    </x:row>
    <x:row r="71" ht="44" customHeight="1">
      <x:c r="A71" s="9" t="str">
        <x:v>T2</x:v>
      </x:c>
      <x:c r="B71" s="9" t="str">
        <x:v>FX-065</x:v>
      </x:c>
      <x:c r="C71" s="9" t="str">
        <x:v>身份</x:v>
      </x:c>
      <x:c r="D71" s="8" t="str">
        <x:v>剥取皮肤细节层</x:v>
      </x:c>
      <x:c r="E71" s="10" t="str">
        <x:v>序章或阶段一获取皮的短动作</x:v>
      </x:c>
      <x:c r="F71" s="10" t="str">
        <x:v>剥皮动作表现发生</x:v>
      </x:c>
      <x:c r="G71" s="10" t="str">
        <x:v>基本奖励和处决已有反馈，细节层不决定玩法结果</x:v>
      </x:c>
      <x:c r="H71" s="10" t="str">
        <x:v>0.3–0.8秒皮张撕离，控制湿黏感</x:v>
      </x:c>
      <x:c r="I71" s="10" t="str">
        <x:v>同范围可删减。动作表现是否保留待确认</x:v>
      </x:c>
      <x:c r="J71" s="11" t="str">
        <x:v>S01/S03</x:v>
      </x:c>
    </x:row>
    <x:row r="72" ht="44" customHeight="1">
      <x:c r="A72" s="9" t="str">
        <x:v>T2</x:v>
      </x:c>
      <x:c r="B72" s="9" t="str">
        <x:v>FX-066</x:v>
      </x:c>
      <x:c r="C72" s="9" t="str">
        <x:v>身份</x:v>
      </x:c>
      <x:c r="D72" s="8" t="str">
        <x:v>皮面具材质差异</x:v>
      </x:c>
      <x:c r="E72" s="12" t="str">
        <x:v>阶段一不同皮或面具的装备</x:v>
      </x:c>
      <x:c r="F72" s="12" t="str">
        <x:v>装备动作中的皮革摩擦或扣合</x:v>
      </x:c>
      <x:c r="G72" s="12" t="str">
        <x:v>T0通用身份音已保证状态清楚</x:v>
      </x:c>
      <x:c r="H72" s="12" t="str">
        <x:v>2个轻微皮革变体即可</x:v>
      </x:c>
      <x:c r="I72" s="12" t="str">
        <x:v>同范围可删减，不为每个身份做全套</x:v>
      </x:c>
      <x:c r="J72" s="13" t="str">
        <x:v>S01/S03</x:v>
      </x:c>
    </x:row>
    <x:row r="73" ht="44" customHeight="1">
      <x:c r="A73" s="9" t="str">
        <x:v>T2</x:v>
      </x:c>
      <x:c r="B73" s="9" t="str">
        <x:v>FX-067</x:v>
      </x:c>
      <x:c r="C73" s="9" t="str">
        <x:v>身份</x:v>
      </x:c>
      <x:c r="D73" s="8" t="str">
        <x:v>附身回声细节层</x:v>
      </x:c>
      <x:c r="E73" s="10" t="str">
        <x:v>阶段一附身乐正、顾客或金银匠</x:v>
      </x:c>
      <x:c r="F73" s="10" t="str">
        <x:v>附身成功瞬间叠加短回声</x:v>
      </x:c>
      <x:c r="G73" s="10" t="str">
        <x:v>成功已有T0提示，额外回声仅增强质感</x:v>
      </x:c>
      <x:c r="H73" s="10" t="str">
        <x:v>0.4–1秒稀疏残响，避免遮住对话</x:v>
      </x:c>
      <x:c r="I73" s="10" t="str">
        <x:v>同范围可删减</x:v>
      </x:c>
      <x:c r="J73" s="11" t="str">
        <x:v>S03/S04</x:v>
      </x:c>
    </x:row>
    <x:row r="74" ht="44" customHeight="1">
      <x:c r="A74" s="9" t="str">
        <x:v>T2</x:v>
      </x:c>
      <x:c r="B74" s="9" t="str">
        <x:v>FX-068</x:v>
      </x:c>
      <x:c r="C74" s="9" t="str">
        <x:v>角色</x:v>
      </x:c>
      <x:c r="D74" s="8" t="str">
        <x:v>木地板脚步差异</x:v>
      </x:c>
      <x:c r="E74" s="12" t="str">
        <x:v>阶段一戏台附近的木板区域，如关卡保留</x:v>
      </x:c>
      <x:c r="F74" s="12" t="str">
        <x:v>玩家或NPC踏上明确的木质地面</x:v>
      </x:c>
      <x:c r="G74" s="12" t="str">
        <x:v>通用硬地脚步已能保证移动反馈</x:v>
      </x:c>
      <x:c r="H74" s="12" t="str">
        <x:v>2–3个木板变体，沿用原有脚步节奏</x:v>
      </x:c>
      <x:c r="I74" s="12" t="str">
        <x:v>同范围可删减。当前策划以室外为主</x:v>
      </x:c>
      <x:c r="J74" s="13" t="str">
        <x:v>S01/S04</x:v>
      </x:c>
    </x:row>
    <x:row r="75" ht="44" customHeight="1">
      <x:c r="A75" s="9" t="str">
        <x:v>T2</x:v>
      </x:c>
      <x:c r="B75" s="9" t="str">
        <x:v>FX-069</x:v>
      </x:c>
      <x:c r="C75" s="9" t="str">
        <x:v>角色</x:v>
      </x:c>
      <x:c r="D75" s="8" t="str">
        <x:v>土石地面脚步差异</x:v>
      </x:c>
      <x:c r="E75" s="10" t="str">
        <x:v>序章室外或阶段一坊市土石地面</x:v>
      </x:c>
      <x:c r="F75" s="10" t="str">
        <x:v>角色踏上对应材质</x:v>
      </x:c>
      <x:c r="G75" s="10" t="str">
        <x:v>通用脚步足够，材质差异属于丰富度</x:v>
      </x:c>
      <x:c r="H75" s="10" t="str">
        <x:v>2–3个土石变体</x:v>
      </x:c>
      <x:c r="I75" s="10" t="str">
        <x:v>同范围可删减</x:v>
      </x:c>
      <x:c r="J75" s="11" t="str">
        <x:v>S01/S03</x:v>
      </x:c>
    </x:row>
    <x:row r="76" ht="44" customHeight="1">
      <x:c r="A76" s="9" t="str">
        <x:v>T2</x:v>
      </x:c>
      <x:c r="B76" s="9" t="str">
        <x:v>FX-070</x:v>
      </x:c>
      <x:c r="C76" s="9" t="str">
        <x:v>角色</x:v>
      </x:c>
      <x:c r="D76" s="8" t="str">
        <x:v>NPC待机衣料</x:v>
      </x:c>
      <x:c r="E76" s="12" t="str">
        <x:v>坊市顾客、学徒、杂役等站立角色</x:v>
      </x:c>
      <x:c r="F76" s="12" t="str">
        <x:v>角色执行显著待机或转身动作</x:v>
      </x:c>
      <x:c r="G76" s="12" t="str">
        <x:v>角色站立与移动仍可从画面理解</x:v>
      </x:c>
      <x:c r="H76" s="12" t="str">
        <x:v>0.1–0.3秒衣料，控制频率</x:v>
      </x:c>
      <x:c r="I76" s="12" t="str">
        <x:v>同范围可删减</x:v>
      </x:c>
      <x:c r="J76" s="13" t="str">
        <x:v>S04/S05</x:v>
      </x:c>
    </x:row>
    <x:row r="77" ht="44" customHeight="1">
      <x:c r="A77" s="9" t="str">
        <x:v>T2</x:v>
      </x:c>
      <x:c r="B77" s="9" t="str">
        <x:v>FX-071</x:v>
      </x:c>
      <x:c r="C77" s="9" t="str">
        <x:v>场景</x:v>
      </x:c>
      <x:c r="D77" s="8" t="str">
        <x:v>坊市生活细节</x:v>
      </x:c>
      <x:c r="E77" s="10" t="str">
        <x:v>阶段一坊市街面与各建筑门口</x:v>
      </x:c>
      <x:c r="F77" s="10" t="str">
        <x:v>玩家进入人群较多的局部区域</x:v>
      </x:c>
      <x:c r="G77" s="10" t="str">
        <x:v>妖界基础循环已有氛围，生活细节可裁剪</x:v>
      </x:c>
      <x:c r="H77" s="10" t="str">
        <x:v>稀疏人群低语、器物活动，可循环</x:v>
      </x:c>
      <x:c r="I77" s="10" t="str">
        <x:v>同范围可删减。采用无清晰对白的环境人声</x:v>
      </x:c>
      <x:c r="J77" s="11" t="str">
        <x:v>S01/S04</x:v>
      </x:c>
    </x:row>
    <x:row r="78" ht="44" customHeight="1">
      <x:c r="A78" s="9" t="str">
        <x:v>T2</x:v>
      </x:c>
      <x:c r="B78" s="9" t="str">
        <x:v>FX-072</x:v>
      </x:c>
      <x:c r="C78" s="9" t="str">
        <x:v>场景</x:v>
      </x:c>
      <x:c r="D78" s="8" t="str">
        <x:v>戏班排练环境</x:v>
      </x:c>
      <x:c r="E78" s="12" t="str">
        <x:v>阶段一露天戏班附近</x:v>
      </x:c>
      <x:c r="F78" s="12" t="str">
        <x:v>接近戏班时淡入，音乐解谜时减弱</x:v>
      </x:c>
      <x:c r="G78" s="12" t="str">
        <x:v>增加地点辨识度，解谜本体不依赖环境排练声</x:v>
      </x:c>
      <x:c r="H78" s="12" t="str">
        <x:v>短锣鼓、乐器试音与衣料，稀疏排列</x:v>
      </x:c>
      <x:c r="I78" s="12" t="str">
        <x:v>同范围可删减。不与谜题主音乐争夺注意</x:v>
      </x:c>
      <x:c r="J78" s="13" t="str">
        <x:v>S01/S04</x:v>
      </x:c>
    </x:row>
    <x:row r="79" ht="44" customHeight="1">
      <x:c r="A79" s="9" t="str">
        <x:v>T2</x:v>
      </x:c>
      <x:c r="B79" s="9" t="str">
        <x:v>FX-073</x:v>
      </x:c>
      <x:c r="C79" s="9" t="str">
        <x:v>场景</x:v>
      </x:c>
      <x:c r="D79" s="8" t="str">
        <x:v>金银行工作环境</x:v>
      </x:c>
      <x:c r="E79" s="10" t="str">
        <x:v>阶段一金银行建筑门口或打造台附近</x:v>
      </x:c>
      <x:c r="F79" s="10" t="str">
        <x:v>接近工匠作业位置</x:v>
      </x:c>
      <x:c r="G79" s="10" t="str">
        <x:v>玩家有效敲击已有T0，背景工作声可省</x:v>
      </x:c>
      <x:c r="H79" s="10" t="str">
        <x:v>稀疏远处金属敲击，低于交互敲击</x:v>
      </x:c>
      <x:c r="I79" s="10" t="str">
        <x:v>同范围可删减</x:v>
      </x:c>
      <x:c r="J79" s="11" t="str">
        <x:v>S01/S04</x:v>
      </x:c>
    </x:row>
    <x:row r="80" ht="44" customHeight="1">
      <x:c r="A80" s="9" t="str">
        <x:v>T2</x:v>
      </x:c>
      <x:c r="B80" s="9" t="str">
        <x:v>FX-074</x:v>
      </x:c>
      <x:c r="C80" s="9" t="str">
        <x:v>场景</x:v>
      </x:c>
      <x:c r="D80" s="8" t="str">
        <x:v>客栈环境人声</x:v>
      </x:c>
      <x:c r="E80" s="12" t="str">
        <x:v>阶段一客栈门口的对话区域</x:v>
      </x:c>
      <x:c r="F80" s="12" t="str">
        <x:v>进入客栈附近，正式对话时降低</x:v>
      </x:c>
      <x:c r="G80" s="12" t="str">
        <x:v>提供地点气息，线索由对白传达</x:v>
      </x:c>
      <x:c r="H80" s="12" t="str">
        <x:v>低语、杯碗轻碰，无完整可识别台词</x:v>
      </x:c>
      <x:c r="I80" s="12" t="str">
        <x:v>同范围可删减</x:v>
      </x:c>
      <x:c r="J80" s="13" t="str">
        <x:v>S01/S04</x:v>
      </x:c>
    </x:row>
    <x:row r="81" ht="44" customHeight="1">
      <x:c r="A81" s="9" t="str">
        <x:v>T2</x:v>
      </x:c>
      <x:c r="B81" s="9" t="str">
        <x:v>FX-075</x:v>
      </x:c>
      <x:c r="C81" s="9" t="str">
        <x:v>场景</x:v>
      </x:c>
      <x:c r="D81" s="8" t="str">
        <x:v>酒肆环境人声</x:v>
      </x:c>
      <x:c r="E81" s="10" t="str">
        <x:v>阶段一酒肆门口和饮酒区域</x:v>
      </x:c>
      <x:c r="F81" s="10" t="str">
        <x:v>进入酒肆活动范围</x:v>
      </x:c>
      <x:c r="G81" s="10" t="str">
        <x:v>基础妖界环境和倒酒声音已能支撑主要体验</x:v>
      </x:c>
      <x:c r="H81" s="10" t="str">
        <x:v>人群低语、杯碗轻碰，短循环</x:v>
      </x:c>
      <x:c r="I81" s="10" t="str">
        <x:v>同范围可删减。战斗或对话时减弱</x:v>
      </x:c>
      <x:c r="J81" s="11" t="str">
        <x:v>S01/S04</x:v>
      </x:c>
    </x:row>
    <x:row r="82" ht="44" customHeight="1">
      <x:c r="A82" s="9" t="str">
        <x:v>T2</x:v>
      </x:c>
      <x:c r="B82" s="9" t="str">
        <x:v>FX-076</x:v>
      </x:c>
      <x:c r="C82" s="9" t="str">
        <x:v>演出</x:v>
      </x:c>
      <x:c r="D82" s="8" t="str">
        <x:v>章节标题出现</x:v>
      </x:c>
      <x:c r="E82" s="12" t="str">
        <x:v>序章或阶段一入镜标题卡</x:v>
      </x:c>
      <x:c r="F82" s="12" t="str">
        <x:v>标题卡显示或章节开场</x:v>
      </x:c>
      <x:c r="G82" s="12" t="str">
        <x:v>章节文字本身清楚，声音只是包装</x:v>
      </x:c>
      <x:c r="H82" s="12" t="str">
        <x:v>0.4–0.8秒克制的短冲击或镜面共鸣</x:v>
      </x:c>
      <x:c r="I82" s="12" t="str">
        <x:v>同范围可删减。以标题卡实际落地为前提</x:v>
      </x:c>
      <x:c r="J82" s="13" t="str">
        <x:v>S02/S09</x:v>
      </x:c>
    </x:row>
    <x:row r="83" ht="44" customHeight="1">
      <x:c r="A83" s="9" t="str">
        <x:v>T2</x:v>
      </x:c>
      <x:c r="B83" s="9" t="str">
        <x:v>FX-077</x:v>
      </x:c>
      <x:c r="C83" s="9" t="str">
        <x:v>小游戏</x:v>
      </x:c>
      <x:c r="D83" s="8" t="str">
        <x:v>光点生成细节</x:v>
      </x:c>
      <x:c r="E83" s="10" t="str">
        <x:v>阶段一戏班光点解谜</x:v>
      </x:c>
      <x:c r="F83" s="10" t="str">
        <x:v>解谜开始，光点显现</x:v>
      </x:c>
      <x:c r="G83" s="10" t="str">
        <x:v>可见光点与有效点击声足够传达互动</x:v>
      </x:c>
      <x:c r="H83" s="10" t="str">
        <x:v>0.2–0.5秒轻亮音</x:v>
      </x:c>
      <x:c r="I83" s="10" t="str">
        <x:v>同范围可删减。光点规则仍待确认</x:v>
      </x:c>
      <x:c r="J83" s="11" t="str">
        <x:v>S01/S08</x:v>
      </x:c>
    </x:row>
    <x:row r="84" ht="44" customHeight="1">
      <x:c r="A84" s="9" t="str">
        <x:v>T2</x:v>
      </x:c>
      <x:c r="B84" s="9" t="str">
        <x:v>FX-078</x:v>
      </x:c>
      <x:c r="C84" s="9" t="str">
        <x:v>小游戏</x:v>
      </x:c>
      <x:c r="D84" s="8" t="str">
        <x:v>锻造火花细节</x:v>
      </x:c>
      <x:c r="E84" s="12" t="str">
        <x:v>阶段一金银行打造命中特效</x:v>
      </x:c>
      <x:c r="F84" s="12" t="str">
        <x:v>有效敲击产生火花或金属碎屑</x:v>
      </x:c>
      <x:c r="G84" s="12" t="str">
        <x:v>敲击主体已有T0，不影响核心手感</x:v>
      </x:c>
      <x:c r="H84" s="12" t="str">
        <x:v>0.1–0.3秒细碎高频层，避免刺耳</x:v>
      </x:c>
      <x:c r="I84" s="12" t="str">
        <x:v>同范围可删减</x:v>
      </x:c>
      <x:c r="J84" s="13" t="str">
        <x:v>S04/S08</x:v>
      </x:c>
    </x:row>
    <x:row r="85" ht="44" customHeight="1">
      <x:c r="A85" s="9" t="str">
        <x:v>T2</x:v>
      </x:c>
      <x:c r="B85" s="9" t="str">
        <x:v>FX-079</x:v>
      </x:c>
      <x:c r="C85" s="9" t="str">
        <x:v>角色</x:v>
      </x:c>
      <x:c r="D85" s="8" t="str">
        <x:v>醉酒打嗝或摇晃细节</x:v>
      </x:c>
      <x:c r="E85" s="10" t="str">
        <x:v>阶段一酒肆顾客、玩家或BOSS</x:v>
      </x:c>
      <x:c r="F85" s="10" t="str">
        <x:v>醉酒待机或摇晃动作</x:v>
      </x:c>
      <x:c r="G85" s="10" t="str">
        <x:v>醉酒档位和跳回合已有基础反馈</x:v>
      </x:c>
      <x:c r="H85" s="10" t="str">
        <x:v>0.2–0.6秒非台词动作声，少量变体</x:v>
      </x:c>
      <x:c r="I85" s="10" t="str">
        <x:v>同范围可删减，不做角色完整配音</x:v>
      </x:c>
      <x:c r="J85" s="11" t="str">
        <x:v>S04/S06</x:v>
      </x:c>
    </x:row>
    <x:row r="86" ht="44" customHeight="1">
      <x:c r="A86" s="9" t="str">
        <x:v>T2</x:v>
      </x:c>
      <x:c r="B86" s="9" t="str">
        <x:v>FX-080</x:v>
      </x:c>
      <x:c r="C86" s="9" t="str">
        <x:v>演出</x:v>
      </x:c>
      <x:c r="D86" s="8" t="str">
        <x:v>章节结束包装</x:v>
      </x:c>
      <x:c r="E86" s="12" t="str">
        <x:v>阶段一通过五个场景并击败BOSS后的收束</x:v>
      </x:c>
      <x:c r="F86" s="12" t="str">
        <x:v>章节完成文字或短演出出现</x:v>
      </x:c>
      <x:c r="G86" s="12" t="str">
        <x:v>胜利、任务完成和关键线索已有反馈</x:v>
      </x:c>
      <x:c r="H86" s="12" t="str">
        <x:v>0.5–1秒短收束，可复用任务完成素材</x:v>
      </x:c>
      <x:c r="I86" s="12" t="str">
        <x:v>同范围可删减。避免与胜利音重叠</x:v>
      </x:c>
      <x:c r="J86" s="13" t="str">
        <x:v>S02/S09/S10</x:v>
      </x:c>
    </x:row>
    <x:row r="87" ht="44" customHeight="1">
      <x:c r="A87" s="9" t="str">
        <x:v>T2</x:v>
      </x:c>
      <x:c r="B87" s="9" t="str">
        <x:v>FX-081</x:v>
      </x:c>
      <x:c r="C87" s="9" t="str">
        <x:v>战斗</x:v>
      </x:c>
      <x:c r="D87" s="8" t="str">
        <x:v>敌人非台词动作声</x:v>
      </x:c>
      <x:c r="E87" s="10" t="str">
        <x:v>阶段一小怪和酒肆BOSS出招、受击或待机</x:v>
      </x:c>
      <x:c r="F87" s="10" t="str">
        <x:v>明显的非台词动作发生</x:v>
      </x:c>
      <x:c r="G87" s="10" t="str">
        <x:v>出招和命中已有基本反馈，额外呼吸或低吼可裁剪</x:v>
      </x:c>
      <x:c r="H87" s="10" t="str">
        <x:v>0.2–0.6秒少量呼吸、闷哼或低吼</x:v>
      </x:c>
      <x:c r="I87" s="10" t="str">
        <x:v>同范围可删减。与配音项目分开</x:v>
      </x:c>
      <x:c r="J87" s="11" t="str">
        <x:v>S05/S06</x:v>
      </x:c>
    </x:row>
    <x:row r="88" ht="44" customHeight="1">
      <x:c r="A88" s="9" t="str">
        <x:v>T3</x:v>
      </x:c>
      <x:c r="B88" s="9" t="str">
        <x:v>FX-082</x:v>
      </x:c>
      <x:c r="C88" s="9" t="str">
        <x:v>场景</x:v>
      </x:c>
      <x:c r="D88" s="8" t="str">
        <x:v>水口与决堤环境</x:v>
      </x:c>
      <x:c r="E88" s="12" t="str">
        <x:v>阶段三验堤：水口、里巷、决堤</x:v>
      </x:c>
      <x:c r="F88" s="12" t="str">
        <x:v>进入对应水域区域后循环</x:v>
      </x:c>
      <x:c r="G88" s="12" t="str">
        <x:v>阶段三专属场景，未排入本轮21天范围</x:v>
      </x:c>
      <x:c r="H88" s="12" t="str">
        <x:v>流水、滴水、远处冲刷，无缝循环</x:v>
      </x:c>
      <x:c r="I88" s="12" t="str">
        <x:v>计划外：阶段三</x:v>
      </x:c>
      <x:c r="J88" s="13" t="str">
        <x:v>S02/S07</x:v>
      </x:c>
    </x:row>
    <x:row r="89" ht="44" customHeight="1">
      <x:c r="A89" s="9" t="str">
        <x:v>T3</x:v>
      </x:c>
      <x:c r="B89" s="9" t="str">
        <x:v>FX-083</x:v>
      </x:c>
      <x:c r="C89" s="9" t="str">
        <x:v>场景</x:v>
      </x:c>
      <x:c r="D89" s="8" t="str">
        <x:v>水位升降</x:v>
      </x:c>
      <x:c r="E89" s="10" t="str">
        <x:v>阶段三录事或量尺调整水位</x:v>
      </x:c>
      <x:c r="F89" s="10" t="str">
        <x:v>水位实际变化并开启新区域</x:v>
      </x:c>
      <x:c r="G89" s="10" t="str">
        <x:v>阶段三专属机制，未排入本轮范围</x:v>
      </x:c>
      <x:c r="H89" s="10" t="str">
        <x:v>分段水流与淹没声，停止时收尾</x:v>
      </x:c>
      <x:c r="I89" s="10" t="str">
        <x:v>计划外：阶段三水位机制</x:v>
      </x:c>
      <x:c r="J89" s="11" t="str">
        <x:v>S07</x:v>
      </x:c>
    </x:row>
    <x:row r="90" ht="44" customHeight="1">
      <x:c r="A90" s="9" t="str">
        <x:v>T3</x:v>
      </x:c>
      <x:c r="B90" s="9" t="str">
        <x:v>FX-084</x:v>
      </x:c>
      <x:c r="C90" s="9" t="str">
        <x:v>角色</x:v>
      </x:c>
      <x:c r="D90" s="8" t="str">
        <x:v>涉水与湿地脚步</x:v>
      </x:c>
      <x:c r="E90" s="12" t="str">
        <x:v>阶段三溺者区域和被水淹没的路径</x:v>
      </x:c>
      <x:c r="F90" s="12" t="str">
        <x:v>角色在水中或湿地落脚</x:v>
      </x:c>
      <x:c r="G90" s="12" t="str">
        <x:v>阶段三材质专属，当前范围无需制作</x:v>
      </x:c>
      <x:c r="H90" s="12" t="str">
        <x:v>2–3个水花、吸附变体</x:v>
      </x:c>
      <x:c r="I90" s="12" t="str">
        <x:v>计划外：阶段三</x:v>
      </x:c>
      <x:c r="J90" s="13" t="str">
        <x:v>S07</x:v>
      </x:c>
    </x:row>
    <x:row r="91" ht="44" customHeight="1">
      <x:c r="A91" s="9" t="str">
        <x:v>T3</x:v>
      </x:c>
      <x:c r="B91" s="9" t="str">
        <x:v>FX-085</x:v>
      </x:c>
      <x:c r="C91" s="9" t="str">
        <x:v>战斗</x:v>
      </x:c>
      <x:c r="D91" s="8" t="str">
        <x:v>水痕影成型</x:v>
      </x:c>
      <x:c r="E91" s="10" t="str">
        <x:v>阶段三决堤，水痕依附环境后显形</x:v>
      </x:c>
      <x:c r="F91" s="10" t="str">
        <x:v>玩家接近，水痕影成型</x:v>
      </x:c>
      <x:c r="G91" s="10" t="str">
        <x:v>阶段三怪物专属，当前范围不用</x:v>
      </x:c>
      <x:c r="H91" s="10" t="str">
        <x:v>0.4–1秒水流凝聚与异响</x:v>
      </x:c>
      <x:c r="I91" s="10" t="str">
        <x:v>计划外：阶段三</x:v>
      </x:c>
      <x:c r="J91" s="11" t="str">
        <x:v>S07</x:v>
      </x:c>
    </x:row>
    <x:row r="92" ht="44" customHeight="1">
      <x:c r="A92" s="9" t="str">
        <x:v>T3</x:v>
      </x:c>
      <x:c r="B92" s="9" t="str">
        <x:v>FX-086</x:v>
      </x:c>
      <x:c r="C92" s="9" t="str">
        <x:v>战斗</x:v>
      </x:c>
      <x:c r="D92" s="8" t="str">
        <x:v>水痕影突刺</x:v>
      </x:c>
      <x:c r="E92" s="12" t="str">
        <x:v>阶段三决堤水痕影攻击</x:v>
      </x:c>
      <x:c r="F92" s="12" t="str">
        <x:v>成型后发起突刺并命中</x:v>
      </x:c>
      <x:c r="G92" s="12" t="str">
        <x:v>阶段三怪物专属，当前范围不用</x:v>
      </x:c>
      <x:c r="H92" s="12" t="str">
        <x:v>短水刺与接触层，可复用基础命中</x:v>
      </x:c>
      <x:c r="I92" s="12" t="str">
        <x:v>计划外：阶段三</x:v>
      </x:c>
      <x:c r="J92" s="13" t="str">
        <x:v>S07</x:v>
      </x:c>
    </x:row>
    <x:row r="93" ht="44" customHeight="1">
      <x:c r="A93" s="9" t="str">
        <x:v>T3</x:v>
      </x:c>
      <x:c r="B93" s="9" t="str">
        <x:v>FX-087</x:v>
      </x:c>
      <x:c r="C93" s="9" t="str">
        <x:v>调查</x:v>
      </x:c>
      <x:c r="D93" s="8" t="str">
        <x:v>身份账簿追查提示</x:v>
      </x:c>
      <x:c r="E93" s="10" t="str">
        <x:v>阶段三使用身份累计触发账簿追查</x:v>
      </x:c>
      <x:c r="F93" s="10" t="str">
        <x:v>记录达到追查条件</x:v>
      </x:c>
      <x:c r="G93" s="10" t="str">
        <x:v>阶段三专属规则，当前范围没有此追查流程</x:v>
      </x:c>
      <x:c r="H93" s="10" t="str">
        <x:v>笔墨记录与危险短音组合</x:v>
      </x:c>
      <x:c r="I93" s="10" t="str">
        <x:v>计划外：阶段三账簿机制</x:v>
      </x:c>
      <x:c r="J93" s="11" t="str">
        <x:v>S07</x:v>
      </x:c>
    </x:row>
    <x:row r="94" ht="44" customHeight="1">
      <x:c r="A94" s="9" t="str">
        <x:v>T3</x:v>
      </x:c>
      <x:c r="B94" s="9" t="str">
        <x:v>FX-088</x:v>
      </x:c>
      <x:c r="C94" s="9" t="str">
        <x:v>交互</x:v>
      </x:c>
      <x:c r="D94" s="8" t="str">
        <x:v>拾骨篮子拾取</x:v>
      </x:c>
      <x:c r="E94" s="12" t="str">
        <x:v>阶段三拾骨人放下篮子，玩家拾走</x:v>
      </x:c>
      <x:c r="F94" s="12" t="str">
        <x:v>篮子被玩家成功拿走</x:v>
      </x:c>
      <x:c r="G94" s="12" t="str">
        <x:v>阶段三专属物件，未排入本轮范围</x:v>
      </x:c>
      <x:c r="H94" s="12" t="str">
        <x:v>篮子、骨片轻碰，0.3–0.7秒</x:v>
      </x:c>
      <x:c r="I94" s="12" t="str">
        <x:v>计划外：阶段三</x:v>
      </x:c>
      <x:c r="J94" s="13" t="str">
        <x:v>S07</x:v>
      </x:c>
    </x:row>
    <x:row r="95" ht="44" customHeight="1">
      <x:c r="A95" s="9" t="str">
        <x:v>T3</x:v>
      </x:c>
      <x:c r="B95" s="9" t="str">
        <x:v>FX-089</x:v>
      </x:c>
      <x:c r="C95" s="9" t="str">
        <x:v>潜行</x:v>
      </x:c>
      <x:c r="D95" s="8" t="str">
        <x:v>查勘使出现与追查</x:v>
      </x:c>
      <x:c r="E95" s="10" t="str">
        <x:v>阶段三账簿追查，查勘使加入追逐</x:v>
      </x:c>
      <x:c r="F95" s="10" t="str">
        <x:v>追查者实际出现并开始追逐</x:v>
      </x:c>
      <x:c r="G95" s="10" t="str">
        <x:v>阶段三执法者专属表现，基础追逐可后续复用</x:v>
      </x:c>
      <x:c r="H95" s="10" t="str">
        <x:v>0.5–1秒执法者专属危险声</x:v>
      </x:c>
      <x:c r="I95" s="10" t="str">
        <x:v>计划外：阶段三</x:v>
      </x:c>
      <x:c r="J95" s="11" t="str">
        <x:v>S07</x:v>
      </x:c>
    </x:row>
    <x:row r="96" ht="44" customHeight="1">
      <x:c r="A96" s="9" t="str">
        <x:v>T3</x:v>
      </x:c>
      <x:c r="B96" s="9" t="str">
        <x:v>FX-090</x:v>
      </x:c>
      <x:c r="C96" s="9" t="str">
        <x:v>身份</x:v>
      </x:c>
      <x:c r="D96" s="8" t="str">
        <x:v>湿皮收服户绝民</x:v>
      </x:c>
      <x:c r="E96" s="12" t="str">
        <x:v>阶段三溺者刻度湿皮与户绝民互动</x:v>
      </x:c>
      <x:c r="F96" s="12" t="str">
        <x:v>匹配条件成立，户绝民被收服</x:v>
      </x:c>
      <x:c r="G96" s="12" t="str">
        <x:v>阶段三专属收服规则，当前范围不用</x:v>
      </x:c>
      <x:c r="H96" s="12" t="str">
        <x:v>皮张、水声与短收束</x:v>
      </x:c>
      <x:c r="I96" s="12" t="str">
        <x:v>计划外：阶段三</x:v>
      </x:c>
      <x:c r="J96" s="13" t="str">
        <x:v>S07</x:v>
      </x:c>
    </x:row>
    <x:row r="97" ht="44" customHeight="1">
      <x:c r="A97" s="9" t="str">
        <x:v>T3</x:v>
      </x:c>
      <x:c r="B97" s="9" t="str">
        <x:v>FX-091</x:v>
      </x:c>
      <x:c r="C97" s="9" t="str">
        <x:v>场景</x:v>
      </x:c>
      <x:c r="D97" s="8" t="str">
        <x:v>分福仪式双版本环境</x:v>
      </x:c>
      <x:c r="E97" s="10" t="str">
        <x:v>阶段六分福祠，本体与信众身份的视角变化</x:v>
      </x:c>
      <x:c r="F97" s="10" t="str">
        <x:v>进入仪式或切换为信众身份</x:v>
      </x:c>
      <x:c r="G97" s="10" t="str">
        <x:v>阶段六专属认知变化，未排入本轮范围</x:v>
      </x:c>
      <x:c r="H97" s="10" t="str">
        <x:v>同一仪式制作祥和、诡异两版，支持平滑切换</x:v>
      </x:c>
      <x:c r="I97" s="10" t="str">
        <x:v>计划外：阶段六</x:v>
      </x:c>
      <x:c r="J97" s="11" t="str">
        <x:v>S02/S07</x:v>
      </x:c>
    </x:row>
    <x:row r="98" ht="44" customHeight="1">
      <x:c r="A98" s="9" t="str">
        <x:v>T3</x:v>
      </x:c>
      <x:c r="B98" s="9" t="str">
        <x:v>FX-092</x:v>
      </x:c>
      <x:c r="C98" s="9" t="str">
        <x:v>角色</x:v>
      </x:c>
      <x:c r="D98" s="8" t="str">
        <x:v>仪式队列脚步与碗声</x:v>
      </x:c>
      <x:c r="E98" s="12" t="str">
        <x:v>阶段六窟下至供桌的行进队列</x:v>
      </x:c>
      <x:c r="F98" s="12" t="str">
        <x:v>队列行进或玩家进入队伍</x:v>
      </x:c>
      <x:c r="G98" s="12" t="str">
        <x:v>阶段六专属排队机制，当前范围不用</x:v>
      </x:c>
      <x:c r="H98" s="12" t="str">
        <x:v>稀疏队列脚步与碗轻碰，避免满场叠音</x:v>
      </x:c>
      <x:c r="I98" s="12" t="str">
        <x:v>计划外：阶段六</x:v>
      </x:c>
      <x:c r="J98" s="13" t="str">
        <x:v>S07</x:v>
      </x:c>
    </x:row>
    <x:row r="99" ht="44" customHeight="1">
      <x:c r="A99" s="9" t="str">
        <x:v>T3</x:v>
      </x:c>
      <x:c r="B99" s="9" t="str">
        <x:v>FX-093</x:v>
      </x:c>
      <x:c r="C99" s="9" t="str">
        <x:v>交互</x:v>
      </x:c>
      <x:c r="D99" s="8" t="str">
        <x:v>福肉分发</x:v>
      </x:c>
      <x:c r="E99" s="10" t="str">
        <x:v>阶段六执事在供桌发放福肉</x:v>
      </x:c>
      <x:c r="F99" s="10" t="str">
        <x:v>福肉实际放入碗中</x:v>
      </x:c>
      <x:c r="G99" s="10" t="str">
        <x:v>阶段六专属互动，未排入本轮范围</x:v>
      </x:c>
      <x:c r="H99" s="10" t="str">
        <x:v>0.3–0.8秒碗、物料落入与动作层</x:v>
      </x:c>
      <x:c r="I99" s="10" t="str">
        <x:v>计划外：阶段六。福肉与福事称谓待统一</x:v>
      </x:c>
      <x:c r="J99" s="11" t="str">
        <x:v>S02/S07</x:v>
      </x:c>
    </x:row>
    <x:row r="100" ht="44" customHeight="1">
      <x:c r="A100" s="9" t="str">
        <x:v>T3</x:v>
      </x:c>
      <x:c r="B100" s="9" t="str">
        <x:v>FX-094</x:v>
      </x:c>
      <x:c r="C100" s="9" t="str">
        <x:v>潜行</x:v>
      </x:c>
      <x:c r="D100" s="8" t="str">
        <x:v>灰衣检查与怀疑</x:v>
      </x:c>
      <x:c r="E100" s="12" t="str">
        <x:v>阶段六灰衣检查玩家手中的数量</x:v>
      </x:c>
      <x:c r="F100" s="12" t="str">
        <x:v>检查实际发生或怀疑跨过阈值</x:v>
      </x:c>
      <x:c r="G100" s="12" t="str">
        <x:v>阶段六专属身份检查，通用危险音可后续复用</x:v>
      </x:c>
      <x:c r="H100" s="12" t="str">
        <x:v>检查短音加通用警戒提示</x:v>
      </x:c>
      <x:c r="I100" s="12" t="str">
        <x:v>计划外：阶段六</x:v>
      </x:c>
      <x:c r="J100" s="13" t="str">
        <x:v>S07</x:v>
      </x:c>
    </x:row>
    <x:row r="101" ht="44" customHeight="1">
      <x:c r="A101" s="9" t="str">
        <x:v>T3</x:v>
      </x:c>
      <x:c r="B101" s="9" t="str">
        <x:v>FX-095</x:v>
      </x:c>
      <x:c r="C101" s="9" t="str">
        <x:v>战斗</x:v>
      </x:c>
      <x:c r="D101" s="8" t="str">
        <x:v>食教者缝合皮攻击</x:v>
      </x:c>
      <x:c r="E101" s="10" t="str">
        <x:v>阶段六食教者第一形态BOSS战</x:v>
      </x:c>
      <x:c r="F101" s="10" t="str">
        <x:v>缝合皮形态的招式释放与命中</x:v>
      </x:c>
      <x:c r="G101" s="10" t="str">
        <x:v>阶段六BOSS专属，当前范围无需此音色</x:v>
      </x:c>
      <x:c r="H101" s="10" t="str">
        <x:v>皮张拉扯、缝合与接触层，招式待定</x:v>
      </x:c>
      <x:c r="I101" s="10" t="str">
        <x:v>计划外：阶段六</x:v>
      </x:c>
      <x:c r="J101" s="11" t="str">
        <x:v>S07</x:v>
      </x:c>
    </x:row>
    <x:row r="102" ht="44" customHeight="1">
      <x:c r="A102" s="9" t="str">
        <x:v>T3</x:v>
      </x:c>
      <x:c r="B102" s="9" t="str">
        <x:v>FX-096</x:v>
      </x:c>
      <x:c r="C102" s="9" t="str">
        <x:v>战斗</x:v>
      </x:c>
      <x:c r="D102" s="8" t="str">
        <x:v>食教者转为分福身</x:v>
      </x:c>
      <x:c r="E102" s="12" t="str">
        <x:v>阶段六BOSS第一形态被击败</x:v>
      </x:c>
      <x:c r="F102" s="12" t="str">
        <x:v>BOSS切换到分福身</x:v>
      </x:c>
      <x:c r="G102" s="12" t="str">
        <x:v>阶段六专属转阶段，未排入本轮范围</x:v>
      </x:c>
      <x:c r="H102" s="12" t="str">
        <x:v>1–2秒皮张分离与集合变化</x:v>
      </x:c>
      <x:c r="I102" s="12" t="str">
        <x:v>计划外：阶段六</x:v>
      </x:c>
      <x:c r="J102" s="13" t="str">
        <x:v>S07</x:v>
      </x:c>
    </x:row>
    <x:row r="103" ht="44" customHeight="1">
      <x:c r="A103" s="9" t="str">
        <x:v>T3</x:v>
      </x:c>
      <x:c r="B103" s="9" t="str">
        <x:v>FX-097</x:v>
      </x:c>
      <x:c r="C103" s="9" t="str">
        <x:v>战斗</x:v>
      </x:c>
      <x:c r="D103" s="8" t="str">
        <x:v>分福身集合体攻击</x:v>
      </x:c>
      <x:c r="E103" s="10" t="str">
        <x:v>阶段六BOSS第二形态</x:v>
      </x:c>
      <x:c r="F103" s="10" t="str">
        <x:v>集合体出招与命中</x:v>
      </x:c>
      <x:c r="G103" s="10" t="str">
        <x:v>阶段六BOSS专属，当前范围不用</x:v>
      </x:c>
      <x:c r="H103" s="10" t="str">
        <x:v>层叠的身体动作和冲击，避免依赖完整配音</x:v>
      </x:c>
      <x:c r="I103" s="10" t="str">
        <x:v>计划外：阶段六，招式待定</x:v>
      </x:c>
      <x:c r="J103" s="11" t="str">
        <x:v>S07</x:v>
      </x:c>
    </x:row>
    <x:row r="104" ht="44" customHeight="1">
      <x:c r="A104" s="9" t="str">
        <x:v>T3</x:v>
      </x:c>
      <x:c r="B104" s="9" t="str">
        <x:v>FX-098</x:v>
      </x:c>
      <x:c r="C104" s="9" t="str">
        <x:v>场景</x:v>
      </x:c>
      <x:c r="D104" s="8" t="str">
        <x:v>特殊镜面通路开启</x:v>
      </x:c>
      <x:c r="E104" s="12" t="str">
        <x:v>阶段九龙窟镜子迷宫</x:v>
      </x:c>
      <x:c r="F104" s="12" t="str">
        <x:v>找到并激活正确镜面，前往下一房间</x:v>
      </x:c>
      <x:c r="G104" s="12" t="str">
        <x:v>阶段九专属镜面通路，当前只需通用两界切换</x:v>
      </x:c>
      <x:c r="H104" s="12" t="str">
        <x:v>镜面共鸣与开启短音</x:v>
      </x:c>
      <x:c r="I104" s="12" t="str">
        <x:v>计划外：阶段九</x:v>
      </x:c>
      <x:c r="J104" s="13" t="str">
        <x:v>S07</x:v>
      </x:c>
    </x:row>
    <x:row r="105" ht="44" customHeight="1">
      <x:c r="A105" s="9" t="str">
        <x:v>T3</x:v>
      </x:c>
      <x:c r="B105" s="9" t="str">
        <x:v>FX-099</x:v>
      </x:c>
      <x:c r="C105" s="9" t="str">
        <x:v>场景</x:v>
      </x:c>
      <x:c r="D105" s="8" t="str">
        <x:v>非特殊镜面变暗</x:v>
      </x:c>
      <x:c r="E105" s="10" t="str">
        <x:v>阶段九龙族揭露期间</x:v>
      </x:c>
      <x:c r="F105" s="10" t="str">
        <x:v>普通镜面被禁用或进入变暗状态</x:v>
      </x:c>
      <x:c r="G105" s="10" t="str">
        <x:v>阶段九专属限制机制，未排入本轮范围</x:v>
      </x:c>
      <x:c r="H105" s="10" t="str">
        <x:v>0.3–0.8秒暗化或能量消退</x:v>
      </x:c>
      <x:c r="I105" s="10" t="str">
        <x:v>计划外：阶段九</x:v>
      </x:c>
      <x:c r="J105" s="11" t="str">
        <x:v>S07</x:v>
      </x:c>
    </x:row>
    <x:row r="106" ht="44" customHeight="1">
      <x:c r="A106" s="9" t="str">
        <x:v>T3</x:v>
      </x:c>
      <x:c r="B106" s="9" t="str">
        <x:v>FX-100</x:v>
      </x:c>
      <x:c r="C106" s="9" t="str">
        <x:v>场景</x:v>
      </x:c>
      <x:c r="D106" s="8" t="str">
        <x:v>房间幻象破除</x:v>
      </x:c>
      <x:c r="E106" s="12" t="str">
        <x:v>阶段九蜃师房间或使用看破道具</x:v>
      </x:c>
      <x:c r="F106" s="12" t="str">
        <x:v>幻象被系统确认解除</x:v>
      </x:c>
      <x:c r="G106" s="12" t="str">
        <x:v>阶段九专属场景状态变化，当前范围不用</x:v>
      </x:c>
      <x:c r="H106" s="12" t="str">
        <x:v>0.8–1.5秒空间剥离与回归声</x:v>
      </x:c>
      <x:c r="I106" s="12" t="str">
        <x:v>计划外：阶段九</x:v>
      </x:c>
      <x:c r="J106" s="13" t="str">
        <x:v>S07</x:v>
      </x:c>
    </x:row>
    <x:row r="107" ht="44" customHeight="1">
      <x:c r="A107" s="9" t="str">
        <x:v>T3</x:v>
      </x:c>
      <x:c r="B107" s="9" t="str">
        <x:v>FX-101</x:v>
      </x:c>
      <x:c r="C107" s="9" t="str">
        <x:v>潜行</x:v>
      </x:c>
      <x:c r="D107" s="8" t="str">
        <x:v>龙族揭露与巡逻召唤</x:v>
      </x:c>
      <x:c r="E107" s="10" t="str">
        <x:v>阶段九龙族感知或都统发现玩家</x:v>
      </x:c>
      <x:c r="F107" s="10" t="str">
        <x:v>身份被揭露，巡逻队实际被召唤</x:v>
      </x:c>
      <x:c r="G107" s="10" t="str">
        <x:v>阶段九专属感知与召唤，未排入本轮范围</x:v>
      </x:c>
      <x:c r="H107" s="10" t="str">
        <x:v>揭露短音和巡逻到场声分段处理</x:v>
      </x:c>
      <x:c r="I107" s="10" t="str">
        <x:v>计划外：阶段九</x:v>
      </x:c>
      <x:c r="J107" s="11" t="str">
        <x:v>S07</x:v>
      </x:c>
    </x:row>
    <x:row r="108" ht="44" customHeight="1">
      <x:c r="A108" s="9" t="str">
        <x:v>T3</x:v>
      </x:c>
      <x:c r="B108" s="9" t="str">
        <x:v>FX-102</x:v>
      </x:c>
      <x:c r="C108" s="9" t="str">
        <x:v>战斗</x:v>
      </x:c>
      <x:c r="D108" s="8" t="str">
        <x:v>水族识破后晕眩</x:v>
      </x:c>
      <x:c r="E108" s="12" t="str">
        <x:v>阶段九随身镜识破伪装水族</x:v>
      </x:c>
      <x:c r="F108" s="12" t="str">
        <x:v>水族被识破并进入晕眩</x:v>
      </x:c>
      <x:c r="G108" s="12" t="str">
        <x:v>阶段九专属识破结果，当前范围不用</x:v>
      </x:c>
      <x:c r="H108" s="12" t="str">
        <x:v>0.3–0.7秒短失衡与水质感</x:v>
      </x:c>
      <x:c r="I108" s="12" t="str">
        <x:v>计划外：阶段九</x:v>
      </x:c>
      <x:c r="J108" s="13" t="str">
        <x:v>S07</x:v>
      </x:c>
    </x:row>
    <x:row r="109" ht="44" customHeight="1">
      <x:c r="A109" s="9" t="str">
        <x:v>T3</x:v>
      </x:c>
      <x:c r="B109" s="9" t="str">
        <x:v>FX-103</x:v>
      </x:c>
      <x:c r="C109" s="9" t="str">
        <x:v>战斗</x:v>
      </x:c>
      <x:c r="D109" s="8" t="str">
        <x:v>钱塘君人形武器攻击</x:v>
      </x:c>
      <x:c r="E109" s="10" t="str">
        <x:v>阶段九钱塘君人形BOSS</x:v>
      </x:c>
      <x:c r="F109" s="10" t="str">
        <x:v>金锁或青玉笏板出招、命中</x:v>
      </x:c>
      <x:c r="G109" s="10" t="str">
        <x:v>阶段九BOSS专属，未排入本轮范围</x:v>
      </x:c>
      <x:c r="H109" s="10" t="str">
        <x:v>金属链和玉器两类材质，复用命中层</x:v>
      </x:c>
      <x:c r="I109" s="10" t="str">
        <x:v>计划外：阶段九，招式细节待定</x:v>
      </x:c>
      <x:c r="J109" s="11" t="str">
        <x:v>S07</x:v>
      </x:c>
    </x:row>
    <x:row r="110" ht="44" customHeight="1">
      <x:c r="A110" s="9" t="str">
        <x:v>T3</x:v>
      </x:c>
      <x:c r="B110" s="9" t="str">
        <x:v>FX-104</x:v>
      </x:c>
      <x:c r="C110" s="9" t="str">
        <x:v>战斗</x:v>
      </x:c>
      <x:c r="D110" s="8" t="str">
        <x:v>钱塘君人形转龙形</x:v>
      </x:c>
      <x:c r="E110" s="12" t="str">
        <x:v>阶段九钱塘君人形血量归零</x:v>
      </x:c>
      <x:c r="F110" s="12" t="str">
        <x:v>BOSS实际进入龙形态</x:v>
      </x:c>
      <x:c r="G110" s="12" t="str">
        <x:v>阶段九核心转阶段，当前21天范围不用</x:v>
      </x:c>
      <x:c r="H110" s="12" t="str">
        <x:v>1–3秒形变、锁链拉扯与天气起势</x:v>
      </x:c>
      <x:c r="I110" s="12" t="str">
        <x:v>计划外：阶段九</x:v>
      </x:c>
      <x:c r="J110" s="13" t="str">
        <x:v>S07</x:v>
      </x:c>
    </x:row>
    <x:row r="111" ht="44" customHeight="1">
      <x:c r="A111" s="9" t="str">
        <x:v>T3</x:v>
      </x:c>
      <x:c r="B111" s="9" t="str">
        <x:v>FX-105</x:v>
      </x:c>
      <x:c r="C111" s="9" t="str">
        <x:v>战斗</x:v>
      </x:c>
      <x:c r="D111" s="8" t="str">
        <x:v>龙形雷霆攻击</x:v>
      </x:c>
      <x:c r="E111" s="10" t="str">
        <x:v>阶段九钱塘君龙形</x:v>
      </x:c>
      <x:c r="F111" s="10" t="str">
        <x:v>雷霆招式起势、落雷与命中</x:v>
      </x:c>
      <x:c r="G111" s="10" t="str">
        <x:v>阶段九专属攻击类型，未排入本轮范围</x:v>
      </x:c>
      <x:c r="H111" s="10" t="str">
        <x:v>雷击起势和落点分开，保持战斗反馈清楚</x:v>
      </x:c>
      <x:c r="I111" s="10" t="str">
        <x:v>计划外：阶段九</x:v>
      </x:c>
      <x:c r="J111" s="11" t="str">
        <x:v>S07</x:v>
      </x:c>
    </x:row>
    <x:row r="112" ht="44" customHeight="1">
      <x:c r="A112" s="9" t="str">
        <x:v>T3</x:v>
      </x:c>
      <x:c r="B112" s="9" t="str">
        <x:v>FX-106</x:v>
      </x:c>
      <x:c r="C112" s="9" t="str">
        <x:v>战斗</x:v>
      </x:c>
      <x:c r="D112" s="8" t="str">
        <x:v>龙形冰雹雨雪攻击</x:v>
      </x:c>
      <x:c r="E112" s="12" t="str">
        <x:v>阶段九钱塘君龙形</x:v>
      </x:c>
      <x:c r="F112" s="12" t="str">
        <x:v>冰雹或风雪招式释放、接触</x:v>
      </x:c>
      <x:c r="G112" s="12" t="str">
        <x:v>阶段九专属攻击类型，未排入本轮范围</x:v>
      </x:c>
      <x:c r="H112" s="12" t="str">
        <x:v>冰粒接触与短风雪层，不使用长环境声充当命中</x:v>
      </x:c>
      <x:c r="I112" s="12" t="str">
        <x:v>计划外：阶段九</x:v>
      </x:c>
      <x:c r="J112" s="13" t="str">
        <x:v>S07</x:v>
      </x:c>
    </x:row>
    <x:row r="113" ht="44" customHeight="1">
      <x:c r="A113" s="9" t="str">
        <x:v>T3</x:v>
      </x:c>
      <x:c r="B113" s="9" t="str">
        <x:v>FX-107</x:v>
      </x:c>
      <x:c r="C113" s="9" t="str">
        <x:v>战斗</x:v>
      </x:c>
      <x:c r="D113" s="8" t="str">
        <x:v>龙爪攻击</x:v>
      </x:c>
      <x:c r="E113" s="10" t="str">
        <x:v>阶段九钱塘君龙形</x:v>
      </x:c>
      <x:c r="F113" s="10" t="str">
        <x:v>龙爪挥动并命中</x:v>
      </x:c>
      <x:c r="G113" s="10" t="str">
        <x:v>阶段九BOSS专属，当前范围不用</x:v>
      </x:c>
      <x:c r="H113" s="10" t="str">
        <x:v>短刮擦、挥动与重击层</x:v>
      </x:c>
      <x:c r="I113" s="10" t="str">
        <x:v>计划外：阶段九</x:v>
      </x:c>
      <x:c r="J113" s="11" t="str">
        <x:v>S07</x:v>
      </x:c>
    </x:row>
    <x:row r="114" ht="44" customHeight="1">
      <x:c r="A114" s="9" t="str">
        <x:v>T3</x:v>
      </x:c>
      <x:c r="B114" s="9" t="str">
        <x:v>FX-108</x:v>
      </x:c>
      <x:c r="C114" s="9" t="str">
        <x:v>战斗</x:v>
      </x:c>
      <x:c r="D114" s="8" t="str">
        <x:v>龙咬攻击</x:v>
      </x:c>
      <x:c r="E114" s="12" t="str">
        <x:v>阶段九钱塘君龙形</x:v>
      </x:c>
      <x:c r="F114" s="12" t="str">
        <x:v>龙咬动作与命中</x:v>
      </x:c>
      <x:c r="G114" s="12" t="str">
        <x:v>阶段九BOSS专属，当前范围不用</x:v>
      </x:c>
      <x:c r="H114" s="12" t="str">
        <x:v>短咬合和身体接触层</x:v>
      </x:c>
      <x:c r="I114" s="12" t="str">
        <x:v>计划外：阶段九</x:v>
      </x:c>
      <x:c r="J114" s="13" t="str">
        <x:v>S07</x:v>
      </x:c>
    </x:row>
    <x:row r="115" ht="44" customHeight="1">
      <x:c r="A115" s="9" t="str">
        <x:v>T3</x:v>
      </x:c>
      <x:c r="B115" s="9" t="str">
        <x:v>FX-109</x:v>
      </x:c>
      <x:c r="C115" s="9" t="str">
        <x:v>战斗</x:v>
      </x:c>
      <x:c r="D115" s="8" t="str">
        <x:v>龙尾攻击</x:v>
      </x:c>
      <x:c r="E115" s="10" t="str">
        <x:v>阶段九钱塘君龙形</x:v>
      </x:c>
      <x:c r="F115" s="10" t="str">
        <x:v>龙尾扫击与命中</x:v>
      </x:c>
      <x:c r="G115" s="10" t="str">
        <x:v>阶段九BOSS专属，当前范围不用</x:v>
      </x:c>
      <x:c r="H115" s="10" t="str">
        <x:v>宽幅挥动和地面冲击</x:v>
      </x:c>
      <x:c r="I115" s="10" t="str">
        <x:v>计划外：阶段九</x:v>
      </x:c>
      <x:c r="J115" s="11" t="str">
        <x:v>S07</x:v>
      </x:c>
    </x:row>
    <x:row r="116" ht="44" customHeight="1">
      <x:c r="A116" s="9" t="str">
        <x:v>T3</x:v>
      </x:c>
      <x:c r="B116" s="9" t="str">
        <x:v>FX-110</x:v>
      </x:c>
      <x:c r="C116" s="9" t="str">
        <x:v>场景</x:v>
      </x:c>
      <x:c r="D116" s="8" t="str">
        <x:v>乡间祠堂与空坟地环境</x:v>
      </x:c>
      <x:c r="E116" s="12" t="str">
        <x:v>阶段五人间泾阳乡间的实地勘察</x:v>
      </x:c>
      <x:c r="F116" s="12" t="str">
        <x:v>进入祠堂或坟地调查区域</x:v>
      </x:c>
      <x:c r="G116" s="12" t="str">
        <x:v>阶段五专属地点，未排入本轮范围</x:v>
      </x:c>
      <x:c r="H116" s="12" t="str">
        <x:v>风、空旷残响与稀疏器物声</x:v>
      </x:c>
      <x:c r="I116" s="12" t="str">
        <x:v>计划外：阶段五</x:v>
      </x:c>
      <x:c r="J116" s="13" t="str">
        <x:v>S02</x:v>
      </x:c>
    </x:row>
    <x:row r="117" ht="44" customHeight="1">
      <x:c r="A117" s="9" t="str">
        <x:v>T3</x:v>
      </x:c>
      <x:c r="B117" s="9" t="str">
        <x:v>FX-111</x:v>
      </x:c>
      <x:c r="C117" s="9" t="str">
        <x:v>演出</x:v>
      </x:c>
      <x:c r="D117" s="8" t="str">
        <x:v>失人真相揭示</x:v>
      </x:c>
      <x:c r="E117" s="10" t="str">
        <x:v>阶段十一查到妻子转世在赈粮册出现两次</x:v>
      </x:c>
      <x:c r="F117" s="10" t="str">
        <x:v>正式演出或文本揭示关键事实</x:v>
      </x:c>
      <x:c r="G117" s="10" t="str">
        <x:v>阶段十一专属叙事节点，当前范围不用</x:v>
      </x:c>
      <x:c r="H117" s="10" t="str">
        <x:v>克制短冲击或环境抽离，允许静默处理</x:v>
      </x:c>
      <x:c r="I117" s="10" t="str">
        <x:v>计划外：阶段十一。音效方案属设计推导</x:v>
      </x:c>
      <x:c r="J117" s="11" t="str">
        <x:v>S02</x:v>
      </x:c>
    </x:row>
    <x:row r="118" ht="44" customHeight="1">
      <x:c r="A118" s="9" t="str">
        <x:v>T3</x:v>
      </x:c>
      <x:c r="B118" s="9" t="str">
        <x:v>FX-112</x:v>
      </x:c>
      <x:c r="C118" s="9" t="str">
        <x:v>演出</x:v>
      </x:c>
      <x:c r="D118" s="8" t="str">
        <x:v>井底封押收束</x:v>
      </x:c>
      <x:c r="E118" s="12" t="str">
        <x:v>阶段十二钱塘龙君被判关在井底</x:v>
      </x:c>
      <x:c r="F118" s="12" t="str">
        <x:v>结案演出展示封押完成</x:v>
      </x:c>
      <x:c r="G118" s="12" t="str">
        <x:v>阶段十二专属结尾，未排入本轮范围</x:v>
      </x:c>
      <x:c r="H118" s="12" t="str">
        <x:v>井底空间、锁链或封闭动作，按演出动作定</x:v>
      </x:c>
      <x:c r="I118" s="12" t="str">
        <x:v>计划外：阶段十二。动作声音属设计推导</x:v>
      </x:c>
      <x:c r="J118" s="13" t="str">
        <x:v>S02</x:v>
      </x:c>
    </x:row>
    <x:row r="119" ht="44" customHeight="1">
      <x:c r="A119" s="9" t="str">
        <x:v>T3</x:v>
      </x:c>
      <x:c r="B119" s="9" t="str">
        <x:v>FX-113</x:v>
      </x:c>
      <x:c r="C119" s="9" t="str">
        <x:v>身份</x:v>
      </x:c>
      <x:c r="D119" s="8" t="str">
        <x:v>旧版镜裂警告</x:v>
      </x:c>
      <x:c r="E119" s="10" t="str">
        <x:v>旧版照镜辨形与镜耐久下降</x:v>
      </x:c>
      <x:c r="F119" s="10" t="str">
        <x:v>旧版规则判定镜裂或耐久进入危险档</x:v>
      </x:c>
      <x:c r="G119" s="10" t="str">
        <x:v>旧版Mirror路线已冻结，不排入本轮计划</x:v>
      </x:c>
      <x:c r="H119" s="10" t="str">
        <x:v>镜面裂纹短音，未来重启规则后再制作</x:v>
      </x:c>
      <x:c r="I119" s="10" t="str">
        <x:v>计划外：旧版冻结玩法</x:v>
      </x:c>
      <x:c r="J119" s="11" t="str">
        <x:v>S11</x:v>
      </x:c>
    </x:row>
    <x:row r="120" ht="44" customHeight="1">
      <x:c r="A120" s="9" t="str">
        <x:v>T3</x:v>
      </x:c>
      <x:c r="B120" s="9" t="str">
        <x:v>FX-114</x:v>
      </x:c>
      <x:c r="C120" s="9" t="str">
        <x:v>演出</x:v>
      </x:c>
      <x:c r="D120" s="8" t="str">
        <x:v>旧版镜碎失败</x:v>
      </x:c>
      <x:c r="E120" s="12" t="str">
        <x:v>旧版镜碎失败页</x:v>
      </x:c>
      <x:c r="F120" s="12" t="str">
        <x:v>旧版镜碎判定成立</x:v>
      </x:c>
      <x:c r="G120" s="12" t="str">
        <x:v>镜碎失败路线被冻结，当前用通用失败音</x:v>
      </x:c>
      <x:c r="H120" s="12" t="str">
        <x:v>玻璃破裂和失败收束</x:v>
      </x:c>
      <x:c r="I120" s="12" t="str">
        <x:v>计划外：旧版冻结玩法</x:v>
      </x:c>
      <x:c r="J120" s="13" t="str">
        <x:v>S11</x:v>
      </x:c>
    </x:row>
    <x:row r="121" ht="44" customHeight="1">
      <x:c r="A121" s="9" t="str">
        <x:v>T3</x:v>
      </x:c>
      <x:c r="B121" s="9" t="str">
        <x:v>FX-115</x:v>
      </x:c>
      <x:c r="C121" s="9" t="str">
        <x:v>身份</x:v>
      </x:c>
      <x:c r="D121" s="8" t="str">
        <x:v>旧版妖灵收押封印</x:v>
      </x:c>
      <x:c r="E121" s="10" t="str">
        <x:v>旧版正式收押妖灵玩法</x:v>
      </x:c>
      <x:c r="F121" s="10" t="str">
        <x:v>收押封印成功</x:v>
      </x:c>
      <x:c r="G121" s="10" t="str">
        <x:v>旧版正式收押定义被冻结，当前不作为独立玩法排期</x:v>
      </x:c>
      <x:c r="H121" s="10" t="str">
        <x:v>封印共鸣与短收束</x:v>
      </x:c>
      <x:c r="I121" s="10" t="str">
        <x:v>计划外：旧版冻结玩法</x:v>
      </x:c>
      <x:c r="J121" s="11" t="str">
        <x:v>S11</x:v>
      </x:c>
    </x:row>
    <x:row r="122" ht="44" customHeight="1">
      <x:c r="A122" s="9" t="str">
        <x:v>T3</x:v>
      </x:c>
      <x:c r="B122" s="9" t="str">
        <x:v>FX-116</x:v>
      </x:c>
      <x:c r="C122" s="9" t="str">
        <x:v>战斗</x:v>
      </x:c>
      <x:c r="D122" s="8" t="str">
        <x:v>备用路线乐官专属战斗</x:v>
      </x:c>
      <x:c r="E122" s="12" t="str">
        <x:v>阶段一另一套坊市路线的戏班BOSS乐官</x:v>
      </x:c>
      <x:c r="F122" s="12" t="str">
        <x:v>采用该路线并制作其招式时</x:v>
      </x:c>
      <x:c r="G122" s="12" t="str">
        <x:v>本表基线是五场景流程，该备用BOSS路线未确认排入</x:v>
      </x:c>
      <x:c r="H122" s="12" t="str">
        <x:v>待招式表确定后制作，通用战斗声先复用</x:v>
      </x:c>
      <x:c r="I122" s="12" t="str">
        <x:v>计划外候选：阶段一备用路线，采用后重新分级</x:v>
      </x:c>
      <x:c r="J122" s="13" t="str">
        <x:v>S01/S07</x:v>
      </x:c>
    </x:row>
    <x:row r="123" ht="44" customHeight="1">
      <x:c r="A123" s="9" t="str">
        <x:v>T3</x:v>
      </x:c>
      <x:c r="B123" s="9" t="str">
        <x:v>FX-117</x:v>
      </x:c>
      <x:c r="C123" s="9" t="str">
        <x:v>战斗</x:v>
      </x:c>
      <x:c r="D123" s="8" t="str">
        <x:v>备用路线行首专属战斗</x:v>
      </x:c>
      <x:c r="E123" s="10" t="str">
        <x:v>阶段一另一套坊市路线的衣肆BOSS行首</x:v>
      </x:c>
      <x:c r="F123" s="10" t="str">
        <x:v>采用该路线并制作其招式时</x:v>
      </x:c>
      <x:c r="G123" s="10" t="str">
        <x:v>备用BOSS路线未确认排入本轮基线</x:v>
      </x:c>
      <x:c r="H123" s="10" t="str">
        <x:v>具体音色与出招时机待招式表</x:v>
      </x:c>
      <x:c r="I123" s="10" t="str">
        <x:v>计划外候选：阶段一备用路线，采用后重新分级</x:v>
      </x:c>
      <x:c r="J123" s="11" t="str">
        <x:v>S07</x:v>
      </x:c>
    </x:row>
    <x:row r="124" ht="44" customHeight="1">
      <x:c r="A124" s="9" t="str">
        <x:v>T3</x:v>
      </x:c>
      <x:c r="B124" s="9" t="str">
        <x:v>FX-118</x:v>
      </x:c>
      <x:c r="C124" s="9" t="str">
        <x:v>战斗</x:v>
      </x:c>
      <x:c r="D124" s="8" t="str">
        <x:v>备用路线都料专属战斗</x:v>
      </x:c>
      <x:c r="E124" s="12" t="str">
        <x:v>阶段一另一套坊市路线的金银行BOSS都料</x:v>
      </x:c>
      <x:c r="F124" s="12" t="str">
        <x:v>采用该路线并制作其招式时</x:v>
      </x:c>
      <x:c r="G124" s="12" t="str">
        <x:v>备用BOSS路线未确认排入本轮基线</x:v>
      </x:c>
      <x:c r="H124" s="12" t="str">
        <x:v>待招式表确定，优先复用金属与通用命中</x:v>
      </x:c>
      <x:c r="I124" s="12" t="str">
        <x:v>计划外候选：阶段一备用路线，采用后重新分级</x:v>
      </x:c>
      <x:c r="J124" s="13" t="str">
        <x:v>S07</x:v>
      </x:c>
    </x:row>
    <x:row r="125" ht="44" customHeight="1">
      <x:c r="A125" s="9" t="str">
        <x:v>T3</x:v>
      </x:c>
      <x:c r="B125" s="9" t="str">
        <x:v>FX-119</x:v>
      </x:c>
      <x:c r="C125" s="9" t="str">
        <x:v>战斗</x:v>
      </x:c>
      <x:c r="D125" s="8" t="str">
        <x:v>备用路线坊正专属战斗</x:v>
      </x:c>
      <x:c r="E125" s="10" t="str">
        <x:v>阶段一另一套坊市路线的官署BOSS坊正</x:v>
      </x:c>
      <x:c r="F125" s="10" t="str">
        <x:v>采用三面具开战路线并制作该战斗时</x:v>
      </x:c>
      <x:c r="G125" s="10" t="str">
        <x:v>此开战链属于另一套未确认采用的路线</x:v>
      </x:c>
      <x:c r="H125" s="10" t="str">
        <x:v>待正式招式定义，先保留通用战斗素材</x:v>
      </x:c>
      <x:c r="I125" s="10" t="str">
        <x:v>计划外候选：阶段一备用路线，采用后重新分级</x:v>
      </x:c>
      <x:c r="J125" s="11" t="str">
        <x:v>S07</x:v>
      </x:c>
    </x:row>
    <x:row r="126" ht="44" customHeight="1">
      <x:c r="A126" s="9" t="str">
        <x:v>T3</x:v>
      </x:c>
      <x:c r="B126" s="9" t="str">
        <x:v>FX-120</x:v>
      </x:c>
      <x:c r="C126" s="9" t="str">
        <x:v>小游戏</x:v>
      </x:c>
      <x:c r="D126" s="8" t="str">
        <x:v>独立音游判定反馈</x:v>
      </x:c>
      <x:c r="E126" s="12" t="str">
        <x:v>独立四轨Rhythm试玩的Tap与判定结果</x:v>
      </x:c>
      <x:c r="F126" s="12" t="str">
        <x:v>音游系统产生命中、Miss或结算反馈</x:v>
      </x:c>
      <x:c r="G126" s="12" t="str">
        <x:v>独立音游不等于当前戏班光点谜题，未排入本轮主线范围</x:v>
      </x:c>
      <x:c r="H126" s="12" t="str">
        <x:v>短打击和判定差异声，不覆盖曲目节奏</x:v>
      </x:c>
      <x:c r="I126" s="12" t="str">
        <x:v>计划外：独立Rhythm试玩扩展。现有歌曲不计SFX</x:v>
      </x:c>
      <x:c r="J126" s="13" t="str">
        <x:v>S11/S12</x:v>
      </x:c>
    </x:row>
    <x:row r="127" ht="44" customHeight="1">
      <x:c r="A127" s="9" t="str">
        <x:v>T3</x:v>
      </x:c>
      <x:c r="B127" s="9" t="str">
        <x:v>FX-121</x:v>
      </x:c>
      <x:c r="C127" s="9" t="str">
        <x:v>小游戏</x:v>
      </x:c>
      <x:c r="D127" s="8" t="str">
        <x:v>独立音游长按反馈</x:v>
      </x:c>
      <x:c r="E127" s="10" t="str">
        <x:v>独立Rhythm试玩的Hold起点与终点</x:v>
      </x:c>
      <x:c r="F127" s="10" t="str">
        <x:v>长按被接受、维持或释放结算</x:v>
      </x:c>
      <x:c r="G127" s="10" t="str">
        <x:v>独立音游长按规则未排入当前主线计划</x:v>
      </x:c>
      <x:c r="H127" s="10" t="str">
        <x:v>起止短音，持续层可省，不能改变判定时序</x:v>
      </x:c>
      <x:c r="I127" s="10" t="str">
        <x:v>计划外：独立Rhythm试玩扩展</x:v>
      </x:c>
      <x:c r="J127" s="11" t="str">
        <x:v>S11/S12</x:v>
      </x:c>
    </x:row>
    <x:row r="128" ht="44" customHeight="1">
      <x:c r="A128" s="9" t="str">
        <x:v>T3</x:v>
      </x:c>
      <x:c r="B128" s="9" t="str">
        <x:v>FX-122</x:v>
      </x:c>
      <x:c r="C128" s="9" t="str">
        <x:v>小游戏</x:v>
      </x:c>
      <x:c r="D128" s="8" t="str">
        <x:v>打印机盖印</x:v>
      </x:c>
      <x:c r="E128" s="12" t="str">
        <x:v>打印机节奏原型的Stamp动作</x:v>
      </x:c>
      <x:c r="F128" s="12" t="str">
        <x:v>对应节奏判定产生有效盖印</x:v>
      </x:c>
      <x:c r="G128" s="12" t="str">
        <x:v>打印机是独立技术规格，不在聚光灯21天主线计划内</x:v>
      </x:c>
      <x:c r="H128" s="12" t="str">
        <x:v>短盖章接触声</x:v>
      </x:c>
      <x:c r="I128" s="12" t="str">
        <x:v>计划外：独立打印机原型</x:v>
      </x:c>
      <x:c r="J128" s="13" t="str">
        <x:v>S13</x:v>
      </x:c>
    </x:row>
    <x:row r="129" ht="44" customHeight="1">
      <x:c r="A129" s="9" t="str">
        <x:v>T3</x:v>
      </x:c>
      <x:c r="B129" s="9" t="str">
        <x:v>FX-123</x:v>
      </x:c>
      <x:c r="C129" s="9" t="str">
        <x:v>小游戏</x:v>
      </x:c>
      <x:c r="D129" s="8" t="str">
        <x:v>打印机滚印</x:v>
      </x:c>
      <x:c r="E129" s="10" t="str">
        <x:v>打印机节奏原型的Roll动作</x:v>
      </x:c>
      <x:c r="F129" s="10" t="str">
        <x:v>按住滚印开始、维持与结束</x:v>
      </x:c>
      <x:c r="G129" s="10" t="str">
        <x:v>独立原型未排入当前制作计划</x:v>
      </x:c>
      <x:c r="H129" s="10" t="str">
        <x:v>滚动循环与起止接触声</x:v>
      </x:c>
      <x:c r="I129" s="10" t="str">
        <x:v>计划外：独立打印机原型</x:v>
      </x:c>
      <x:c r="J129" s="11" t="str">
        <x:v>S13</x:v>
      </x:c>
    </x:row>
    <x:row r="130" ht="44" customHeight="1">
      <x:c r="A130" s="9" t="str">
        <x:v>T3</x:v>
      </x:c>
      <x:c r="B130" s="9" t="str">
        <x:v>FX-124</x:v>
      </x:c>
      <x:c r="C130" s="9" t="str">
        <x:v>小游戏</x:v>
      </x:c>
      <x:c r="D130" s="8" t="str">
        <x:v>打印机裁切</x:v>
      </x:c>
      <x:c r="E130" s="12" t="str">
        <x:v>打印机节奏原型的Cut动作</x:v>
      </x:c>
      <x:c r="F130" s="12" t="str">
        <x:v>裁切判定生效</x:v>
      </x:c>
      <x:c r="G130" s="12" t="str">
        <x:v>独立原型未排入当前制作计划</x:v>
      </x:c>
      <x:c r="H130" s="12" t="str">
        <x:v>短纸张剪切与刀片接触</x:v>
      </x:c>
      <x:c r="I130" s="12" t="str">
        <x:v>计划外：独立打印机原型</x:v>
      </x:c>
      <x:c r="J130" s="13" t="str">
        <x:v>S13</x:v>
      </x:c>
    </x:row>
  </x:sheetData>
  <x:conditionalFormatting sqref="A7:D130">
    <x:cfRule type="expression" dxfId="0" priority="1">
      <x:formula>$A7="T0"</x:formula>
    </x:cfRule>
    <x:cfRule type="expression" dxfId="1" priority="2">
      <x:formula>$A7="T1"</x:formula>
    </x:cfRule>
    <x:cfRule type="expression" dxfId="2" priority="3">
      <x:formula>$A7="T2"</x:formula>
    </x:cfRule>
    <x:cfRule type="expression" dxfId="3" priority="4">
      <x:formula>$A7="T3"</x:formula>
    </x:cfRule>
  </x:conditionalFormatting>
  <x:dataValidations count="2">
    <x:dataValidation type="list" sqref="A7:A130">
      <x:formula1>"T0,T1,T2,T3"</x:formula1>
    </x:dataValidation>
    <x:dataValidation type="list" sqref="C7:C130">
      <x:formula1>"UI,交互,角色,潜行,身份,战斗,小游戏,调查,场景,演出"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0c4aa0a694a457c"/>
  </x:tableParts>
</x:worksheet>
</file>